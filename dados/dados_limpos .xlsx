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Brasil" sheetId="1" r:id="rId4"/>
    <sheet state="visible" name="Resumo_Estatistico" sheetId="2" r:id="rId5"/>
    <sheet state="visible" name="Análise_por_Categoria" sheetId="3" r:id="rId6"/>
  </sheets>
  <definedNames>
    <definedName hidden="1" localSheetId="0" name="_xlnm._FilterDatabase">Dados_Brasil!$A$1:$W$995</definedName>
    <definedName hidden="1" localSheetId="2" name="_xlnm._FilterDatabase">'Análise_por_Categoria'!$A$1:$I$13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<sst xmlns="http://schemas.openxmlformats.org/spreadsheetml/2006/main" count="455" uniqueCount="243">
  <si>
    <t>rank</t>
  </si>
  <si>
    <t>Youtuber</t>
  </si>
  <si>
    <t>subscribers</t>
  </si>
  <si>
    <t>video views</t>
  </si>
  <si>
    <t>category</t>
  </si>
  <si>
    <t>uploads</t>
  </si>
  <si>
    <t>Country</t>
  </si>
  <si>
    <t>channel_type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</si>
  <si>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</si>
  <si>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</si>
  <si>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</si>
  <si>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</si>
  <si>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</si>
  <si>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created_date</t>
  </si>
  <si>
    <t>Views_por_Inscrito</t>
  </si>
  <si>
    <t>Receita_Media_Mensal</t>
  </si>
  <si>
    <t>Tamanho_Canal</t>
  </si>
  <si>
    <t>Inscritos_por_Video</t>
  </si>
  <si>
    <t>CPM_por_Milhao</t>
  </si>
  <si>
    <t>Momentum_Percentual</t>
  </si>
  <si>
    <t>Anos_no_YouTube</t>
  </si>
  <si>
    <t>Classificacao_BCG</t>
  </si>
  <si>
    <t xml:space="preserve"> </t>
  </si>
  <si>
    <t>Canal KondZilla</t>
  </si>
  <si>
    <t>Music</t>
  </si>
  <si>
    <t>Brazil</t>
  </si>
  <si>
    <t>Felipe Neto</t>
  </si>
  <si>
    <t>Entertainment</t>
  </si>
  <si>
    <t>Você Sabia?</t>
  </si>
  <si>
    <t>whindersson nunes</t>
  </si>
  <si>
    <t>Comedy</t>
  </si>
  <si>
    <t>GR6 EXPLODE</t>
  </si>
  <si>
    <t>Maria Clara &amp; JP</t>
  </si>
  <si>
    <t>People &amp; Blogs</t>
  </si>
  <si>
    <t>Galinha Pintadinha</t>
  </si>
  <si>
    <t>Film &amp; Animation</t>
  </si>
  <si>
    <t>Film</t>
  </si>
  <si>
    <t>rezende evil</t>
  </si>
  <si>
    <t>Gaming</t>
  </si>
  <si>
    <t>Enaldinho</t>
  </si>
  <si>
    <t>Games</t>
  </si>
  <si>
    <t>Renato Garcia YT</t>
  </si>
  <si>
    <t>Spider Slack</t>
  </si>
  <si>
    <t>Valentina Pontes ofc</t>
  </si>
  <si>
    <t>DUDU e CAROL</t>
  </si>
  <si>
    <t>Autos &amp; Vehicles</t>
  </si>
  <si>
    <t>Rafa &amp; Luiz</t>
  </si>
  <si>
    <t>Fatos Desconhecidos</t>
  </si>
  <si>
    <t>Canal Canalha</t>
  </si>
  <si>
    <t>Totoy kids - Português</t>
  </si>
  <si>
    <t>Authentic Games</t>
  </si>
  <si>
    <t>Gusttavo Lima Oficial</t>
  </si>
  <si>
    <t>Turma da Mônica</t>
  </si>
  <si>
    <t>INCRÍVEL</t>
  </si>
  <si>
    <t>Howto</t>
  </si>
  <si>
    <t>Manual do Mundo</t>
  </si>
  <si>
    <t>Howto &amp; Style</t>
  </si>
  <si>
    <t>Tech</t>
  </si>
  <si>
    <t>Porta dos Fundos</t>
  </si>
  <si>
    <t>Anitta</t>
  </si>
  <si>
    <t>Bispo Bruno Leonardo</t>
  </si>
  <si>
    <t>Nonprofits &amp; Activism</t>
  </si>
  <si>
    <t>Nonprofit</t>
  </si>
  <si>
    <t>Gato Galactico</t>
  </si>
  <si>
    <t>T3ddy</t>
  </si>
  <si>
    <t>People</t>
  </si>
  <si>
    <t>Canal IN</t>
  </si>
  <si>
    <t>MK MUSIC</t>
  </si>
  <si>
    <t>Juliana Baltar</t>
  </si>
  <si>
    <t>Henrique e Juliano</t>
  </si>
  <si>
    <t>Little Angel - Músicas Infantis Português</t>
  </si>
  <si>
    <t>Education</t>
  </si>
  <si>
    <t>TazerCraft</t>
  </si>
  <si>
    <t>Jorge &amp; Mateus Oficial</t>
  </si>
  <si>
    <t>Camila Loures</t>
  </si>
  <si>
    <t>O Reino Infantil</t>
  </si>
  <si>
    <t>Planeta das Gêmeas</t>
  </si>
  <si>
    <t>IDEIAS INCRÍVEIS</t>
  </si>
  <si>
    <t>Invento na Hora</t>
  </si>
  <si>
    <t>Crescendo com Luluca</t>
  </si>
  <si>
    <t>AM3NlC</t>
  </si>
  <si>
    <t>Jazz ghost</t>
  </si>
  <si>
    <t>Wesley Safadão</t>
  </si>
  <si>
    <t>MAIKI021</t>
  </si>
  <si>
    <t>MC Divertida</t>
  </si>
  <si>
    <t>Painzeiro</t>
  </si>
  <si>
    <t>Hungria Hip Hop</t>
  </si>
  <si>
    <t>Peppa Pig em Português</t>
  </si>
  <si>
    <t>RedeTV</t>
  </si>
  <si>
    <t>7 Minutoz</t>
  </si>
  <si>
    <t>Everson Zoio</t>
  </si>
  <si>
    <t>Pastor Antônio Jr.</t>
  </si>
  <si>
    <t>Matheus Yurley</t>
  </si>
  <si>
    <t>Piuzinho</t>
  </si>
  <si>
    <t>Mundo Bita</t>
  </si>
  <si>
    <t>Parafernalha</t>
  </si>
  <si>
    <t>Natan por Aí</t>
  </si>
  <si>
    <t>Sports</t>
  </si>
  <si>
    <t>═══════════════════════════════════════════════════════════════════</t>
  </si>
  <si>
    <t>🏆 TOP 10 CANAIS MAIS EFICIENTES</t>
  </si>
  <si>
    <t>ANÁLISE DE INFLUENCIADORES BRASILEIROS NO YOUTUBE</t>
  </si>
  <si>
    <t>Rank</t>
  </si>
  <si>
    <t>Canal</t>
  </si>
  <si>
    <t>Inscrito</t>
  </si>
  <si>
    <t>Vídeos</t>
  </si>
  <si>
    <t>Inscrito/ Vídeo</t>
  </si>
  <si>
    <t>📊 VISÃO GERAL</t>
  </si>
  <si>
    <t>Total de Canais Analisados:</t>
  </si>
  <si>
    <t>Distribuição por Tamanho:</t>
  </si>
  <si>
    <t>Mega (≥10M):</t>
  </si>
  <si>
    <t>Grande (1-10M):</t>
  </si>
  <si>
    <t>═════════════════════════════════════════════════════</t>
  </si>
  <si>
    <t>💰 ANÁLISE 2: CUSTO-BENEFÍCIO (CPM)</t>
  </si>
  <si>
    <t>Médio (100K-1M):</t>
  </si>
  <si>
    <t>Melhor CPM (mais barato):</t>
  </si>
  <si>
    <t>Pequeno (&lt;100K):</t>
  </si>
  <si>
    <t>Pior CPM (mais caro):</t>
  </si>
  <si>
    <t>📈 INSCRITOS (SUBSCRIBERS)</t>
  </si>
  <si>
    <t>CPM Médio:</t>
  </si>
  <si>
    <t>Soma Total de Inscritos:</t>
  </si>
  <si>
    <t>🏆 TOP 10 MELHOR CUSTO-BENEFÍCIO</t>
  </si>
  <si>
    <t xml:space="preserve">Rank </t>
  </si>
  <si>
    <t xml:space="preserve">CPM </t>
  </si>
  <si>
    <t>Receita Mensal</t>
  </si>
  <si>
    <t>Views 30 dias</t>
  </si>
  <si>
    <t>Média de Inscritos por Canal:</t>
  </si>
  <si>
    <t>Canal com Mais Inscritos:</t>
  </si>
  <si>
    <t>Canal com Menos Inscritos:</t>
  </si>
  <si>
    <t>Mediana de Inscritos:</t>
  </si>
  <si>
    <t>🔥 ANÁLISE 3: MOMENTUM (CRESCIMENTO ATUAL)</t>
  </si>
  <si>
    <t>👁️ VISUALIZAÇÕES (VIDEO VIEWS)</t>
  </si>
  <si>
    <t>Total de Visualizações:</t>
  </si>
  <si>
    <t>Maior Momentum:</t>
  </si>
  <si>
    <t>Média de Visualizações por Canal:</t>
  </si>
  <si>
    <t>Menor Momentum:</t>
  </si>
  <si>
    <t>Maior Número de Views:</t>
  </si>
  <si>
    <t>Momentum Médio:</t>
  </si>
  <si>
    <t>Menor Número de Views:</t>
  </si>
  <si>
    <t>🏆 TOP 10 CANAIS COM MAIOR MOMENTUM</t>
  </si>
  <si>
    <t xml:space="preserve">Momentum % </t>
  </si>
  <si>
    <t>Views Totais</t>
  </si>
  <si>
    <t>📹 PRODUÇÃO DE CONTEÚDO</t>
  </si>
  <si>
    <t>Média de Vídeos Publicados:</t>
  </si>
  <si>
    <t>Canal com Mais Vídeos:</t>
  </si>
  <si>
    <t>Canal com Menos Vídeos:</t>
  </si>
  <si>
    <t>═══════════════════════════════════════════════════════</t>
  </si>
  <si>
    <t>🎯 ANÁLISE 4: SEGMENTAÇÃO POR QUALIDADE DE PÚBLICO</t>
  </si>
  <si>
    <t>💰 RECEITA ESTIMADA (MENSAL EM USD)</t>
  </si>
  <si>
    <t>Engajamento EXCEPCIONAL (&gt;800 views/inscrito):</t>
  </si>
  <si>
    <t>Receita Média Mensal:</t>
  </si>
  <si>
    <t>Engajamento ÓTIMO (400-800):</t>
  </si>
  <si>
    <t>Maior Receita Mensal:</t>
  </si>
  <si>
    <t>Engajamento BOM (200-400):</t>
  </si>
  <si>
    <t>Menor Receita Mensal:</t>
  </si>
  <si>
    <t>Engajamento FRACO (&lt;200):</t>
  </si>
  <si>
    <t>Receita Total Estimada:</t>
  </si>
  <si>
    <t>Percentual de Canais com Alto Engajamento (&gt;400):</t>
  </si>
  <si>
    <t>📊 ENGAJAMENTO</t>
  </si>
  <si>
    <t>═══════════════════════════════════════════════════════════</t>
  </si>
  <si>
    <t>Views por Inscrito (Média):</t>
  </si>
  <si>
    <t>📅 ANÁLISE 5: LONGEVIDADE vs DESEMPENHO</t>
  </si>
  <si>
    <t>Melhor Taxa de Engajamento:</t>
  </si>
  <si>
    <t>Idade Média dos Canais (anos):</t>
  </si>
  <si>
    <t>Pior Taxa de Engajamento:</t>
  </si>
  <si>
    <t>Canal Mais Antigo (anos):</t>
  </si>
  <si>
    <t>Canal Mais Novo (anos):</t>
  </si>
  <si>
    <t>📈 CRESCIMENTO RECENTE (30 DIAS)</t>
  </si>
  <si>
    <t>Média de Views nos Últimos 30 Dias:</t>
  </si>
  <si>
    <t>Canais VETERANOS (&gt;10 anos):</t>
  </si>
  <si>
    <t>Canal com Mais Views Recentes:</t>
  </si>
  <si>
    <t>Canais ESTABELECIDOS (5-10 anos):</t>
  </si>
  <si>
    <t>Canal com Menos Views Recentes:</t>
  </si>
  <si>
    <t>Canais NOVOS (&lt;5 anos):</t>
  </si>
  <si>
    <t>🎯 ANÁLISE 1: EFICIÊNCIA DE PRODUÇÃO</t>
  </si>
  <si>
    <t>🎯 ANÁLISE 6: MATRIZ BCG - RECOMENDAÇÕES ESTRATÉGICAS</t>
  </si>
  <si>
    <t>Melhor Eficiência (mais inscritos por vídeo):</t>
  </si>
  <si>
    <t>⭐ ESTRELAS (Alto Engajamento + Alto Crescimento):</t>
  </si>
  <si>
    <t>INVESTIR PRIORITARIAMENTE - São oportunidades de ouro!</t>
  </si>
  <si>
    <t>Pior Eficiência:</t>
  </si>
  <si>
    <t>🐄 VACAS LEITEIRAS (Alto Engajamento + Crescimento Estável):</t>
  </si>
  <si>
    <t>MANTER PARCERIAS - Confiáveis e lucrativos!</t>
  </si>
  <si>
    <t>Média de Eficiência:</t>
  </si>
  <si>
    <t>❓ PONTOS DE INTERROGAÇÃO (Baixo Engajamento + Alto Crescimento):</t>
  </si>
  <si>
    <t>Mediana:</t>
  </si>
  <si>
    <t>TESTAR COM CUIDADO - Arriscado mas pode valer a pena</t>
  </si>
  <si>
    <t>🐕 CÃES (Baixo Engajamento + Baixo Crescimento):</t>
  </si>
  <si>
    <t>EVITAR - Não valem o investimento</t>
  </si>
  <si>
    <t>📊 RESUMO EXECUTIVO - PRINCIPAIS RECOMENDAÇÕES</t>
  </si>
  <si>
    <t>🏆 LISTA DE ESTRELAS - INVESTIR AGORA!</t>
  </si>
  <si>
    <t xml:space="preserve">Categoria         </t>
  </si>
  <si>
    <t>Quantidade</t>
  </si>
  <si>
    <t>🎯 PRINCIPAIS INSIGHTS:</t>
  </si>
  <si>
    <t>EXCEPCIONAL (&gt;800)</t>
  </si>
  <si>
    <t>GR6 EXPLODE ⭐</t>
  </si>
  <si>
    <t xml:space="preserve">ÓTIMO (400-800) </t>
  </si>
  <si>
    <t>1. MERCADO GIGANTE:</t>
  </si>
  <si>
    <t>Natan por Aí ⭐</t>
  </si>
  <si>
    <t>BOM (200-400)</t>
  </si>
  <si>
    <t>- 1,15 bilhões de inscritos totais</t>
  </si>
  <si>
    <t>Spider Slack ⭐</t>
  </si>
  <si>
    <t>FRACO (&lt;200)</t>
  </si>
  <si>
    <t>- R$ 14,7 milhões em receita mensal estimada</t>
  </si>
  <si>
    <t>Enaldinho ⭐</t>
  </si>
  <si>
    <t>DUDU e CAROL ⭐</t>
  </si>
  <si>
    <t>2. OPORTUNIDADES IDENTIFICADAS:</t>
  </si>
  <si>
    <t>Jazz ghost ⭐</t>
  </si>
  <si>
    <t>- 10 canais ⭐ ESTRELAS para investimento prioritário</t>
  </si>
  <si>
    <t>Little Angel - Músicas Infantis Português ⭐</t>
  </si>
  <si>
    <t>- 15 canais 🐄 VACAS LEITEIRAS para parcerias estáveis</t>
  </si>
  <si>
    <t>Gusttavo Lima Oficial ⭐</t>
  </si>
  <si>
    <t>MK MUSIC ⭐</t>
  </si>
  <si>
    <t>3. MELHOR ESTRATÉGIA:</t>
  </si>
  <si>
    <t>Galinha Pintadinha ⭐</t>
  </si>
  <si>
    <t>- Categoria mais lucrativa: [Nome]</t>
  </si>
  <si>
    <t>- Melhor custo-benefício: [Nome]</t>
  </si>
  <si>
    <t>- Maior crescimento atual: [Nome]</t>
  </si>
  <si>
    <t>4. ALERTAS:</t>
  </si>
  <si>
    <t>- 23 canais 🐕 para EVITAR (baixo ROI)</t>
  </si>
  <si>
    <t>- CPM médio do mercado: R$ [X]</t>
  </si>
  <si>
    <t>COUNTA de Youtuber</t>
  </si>
  <si>
    <t>SUM de subscribers</t>
  </si>
  <si>
    <t>AVERAGE de subscribers</t>
  </si>
  <si>
    <t>AVERAGE de Views_por_Inscrito</t>
  </si>
  <si>
    <t>AVERAGE de Receita_Media_Mensal</t>
  </si>
  <si>
    <t>AVERAGE de CPM_por_Milhao</t>
  </si>
  <si>
    <t>AVERAGE de Momentum_Percentual</t>
  </si>
  <si>
    <t>AVERAGE de Inscritos_por_Video</t>
  </si>
  <si>
    <t>Total geral</t>
  </si>
  <si>
    <t>════════════════════════════════════════════════════</t>
  </si>
  <si>
    <t>🎭 ANÁLISE 7: ESTRATÉGIA POR CATEGORIA</t>
  </si>
  <si>
    <t>(Preencha manualmente após ver a tabela dinâmica)</t>
  </si>
  <si>
    <t>📊 CATEGORIA DOMINANTE:</t>
  </si>
  <si>
    <t>Entretenimento - 14 canais - 286.400.000 inscritos</t>
  </si>
  <si>
    <t>💰 CATEGORIA MAIS LUCRATIVA:</t>
  </si>
  <si>
    <t>Esporte - Receita média: R$ 1.169.050</t>
  </si>
  <si>
    <t>🎯 MELHOR CUSTO-BENEFÍCIO:</t>
  </si>
  <si>
    <t>Esporte - CPM médio: R$ 2.115,88</t>
  </si>
  <si>
    <t>📈 MAIOR ENGAJAMENTO:</t>
  </si>
  <si>
    <t>Esporte - 734 views/inscrito</t>
  </si>
  <si>
    <t>🔥 MAIOR MOMENTUM:</t>
  </si>
  <si>
    <t>Esporte - 6,12% de crescimento</t>
  </si>
  <si>
    <t>💎 OPORTUNIDADE (Poucos canais + Bom desempenho):</t>
  </si>
  <si>
    <t>Music, Sports, Comedy, Autos &amp; Vehicles,  Gaming, Entertainment, 
Film &amp; Animation - Apenas 10 canais competindo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</si>
</sst>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R$ -416]#,##0"/>
    <numFmt numFmtId="166" formatCode="[$R$ -416]#,##0.00"/>
    <numFmt numFmtId="167" formatCode="#,##0.0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readingOrder="0" vertical="bottom"/>
    </xf>
    <xf borderId="0" fillId="0" fontId="3" numFmtId="49" xfId="0" applyAlignment="1" applyFont="1" applyNumberFormat="1">
      <alignment horizontal="left" readingOrder="0" vertical="bottom"/>
    </xf>
    <xf borderId="0" fillId="0" fontId="3" numFmtId="3" xfId="0" applyAlignment="1" applyFont="1" applyNumberFormat="1">
      <alignment horizontal="center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vertical="bottom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10" xfId="0" applyAlignment="1" applyFont="1" applyNumberFormat="1">
      <alignment horizontal="center"/>
    </xf>
    <xf borderId="1" fillId="2" fontId="4" numFmtId="0" xfId="0" applyAlignment="1" applyBorder="1" applyFill="1" applyFont="1">
      <alignment readingOrder="0"/>
    </xf>
    <xf borderId="2" fillId="0" fontId="3" numFmtId="49" xfId="0" applyAlignment="1" applyBorder="1" applyFont="1" applyNumberFormat="1">
      <alignment horizontal="center" readingOrder="0" vertical="bottom"/>
    </xf>
    <xf borderId="3" fillId="0" fontId="5" numFmtId="0" xfId="0" applyBorder="1" applyFont="1"/>
    <xf borderId="4" fillId="0" fontId="5" numFmtId="0" xfId="0" applyBorder="1" applyFont="1"/>
    <xf borderId="5" fillId="2" fontId="4" numFmtId="0" xfId="0" applyAlignment="1" applyBorder="1" applyFont="1">
      <alignment horizontal="center" readingOrder="0"/>
    </xf>
    <xf borderId="6" fillId="0" fontId="3" numFmtId="49" xfId="0" applyAlignment="1" applyBorder="1" applyFont="1" applyNumberFormat="1">
      <alignment horizontal="center" readingOrder="0" vertical="bottom"/>
    </xf>
    <xf borderId="6" fillId="0" fontId="4" numFmtId="0" xfId="0" applyAlignment="1" applyBorder="1" applyFont="1">
      <alignment horizontal="center" readingOrder="0"/>
    </xf>
    <xf borderId="5" fillId="2" fontId="4" numFmtId="0" xfId="0" applyAlignment="1" applyBorder="1" applyFont="1">
      <alignment readingOrder="0"/>
    </xf>
    <xf borderId="6" fillId="0" fontId="3" numFmtId="0" xfId="0" applyAlignment="1" applyBorder="1" applyFont="1">
      <alignment horizontal="center" readingOrder="0" vertical="bottom"/>
    </xf>
    <xf borderId="6" fillId="0" fontId="4" numFmtId="49" xfId="0" applyAlignment="1" applyBorder="1" applyFont="1" applyNumberFormat="1">
      <alignment readingOrder="0"/>
    </xf>
    <xf borderId="6" fillId="0" fontId="4" numFmtId="3" xfId="0" applyAlignment="1" applyBorder="1" applyFont="1" applyNumberFormat="1">
      <alignment horizontal="center" readingOrder="0"/>
    </xf>
    <xf borderId="6" fillId="0" fontId="4" numFmtId="3" xfId="0" applyAlignment="1" applyBorder="1" applyFont="1" applyNumberFormat="1">
      <alignment horizontal="center"/>
    </xf>
    <xf borderId="5" fillId="2" fontId="4" numFmtId="0" xfId="0" applyBorder="1" applyFont="1"/>
    <xf borderId="5" fillId="2" fontId="4" numFmtId="0" xfId="0" applyAlignment="1" applyBorder="1" applyFont="1">
      <alignment horizontal="left" readingOrder="0"/>
    </xf>
    <xf borderId="5" fillId="2" fontId="4" numFmtId="0" xfId="0" applyAlignment="1" applyBorder="1" applyFont="1">
      <alignment horizontal="left"/>
    </xf>
    <xf borderId="7" fillId="0" fontId="4" numFmtId="0" xfId="0" applyAlignment="1" applyBorder="1" applyFont="1">
      <alignment readingOrder="0"/>
    </xf>
    <xf borderId="8" fillId="0" fontId="4" numFmtId="0" xfId="0" applyBorder="1" applyFont="1"/>
    <xf borderId="9" fillId="0" fontId="4" numFmtId="0" xfId="0" applyBorder="1" applyFont="1"/>
    <xf borderId="10" fillId="0" fontId="4" numFmtId="0" xfId="0" applyAlignment="1" applyBorder="1" applyFont="1">
      <alignment readingOrder="0"/>
    </xf>
    <xf borderId="11" fillId="0" fontId="4" numFmtId="0" xfId="0" applyBorder="1" applyFont="1"/>
    <xf borderId="10" fillId="0" fontId="4" numFmtId="0" xfId="0" applyBorder="1" applyFont="1"/>
    <xf borderId="10" fillId="0" fontId="4" numFmtId="166" xfId="0" applyBorder="1" applyFont="1" applyNumberFormat="1"/>
    <xf borderId="12" fillId="0" fontId="4" numFmtId="166" xfId="0" applyBorder="1" applyFont="1" applyNumberFormat="1"/>
    <xf borderId="13" fillId="0" fontId="4" numFmtId="0" xfId="0" applyBorder="1" applyFont="1"/>
    <xf borderId="14" fillId="0" fontId="4" numFmtId="0" xfId="0" applyBorder="1" applyFont="1"/>
    <xf borderId="5" fillId="2" fontId="4" numFmtId="3" xfId="0" applyAlignment="1" applyBorder="1" applyFont="1" applyNumberFormat="1">
      <alignment horizontal="left"/>
    </xf>
    <xf borderId="2" fillId="0" fontId="4" numFmtId="0" xfId="0" applyAlignment="1" applyBorder="1" applyFont="1">
      <alignment horizontal="center" readingOrder="0"/>
    </xf>
    <xf borderId="6" fillId="0" fontId="4" numFmtId="166" xfId="0" applyAlignment="1" applyBorder="1" applyFont="1" applyNumberFormat="1">
      <alignment horizontal="center"/>
    </xf>
    <xf borderId="6" fillId="0" fontId="4" numFmtId="165" xfId="0" applyAlignment="1" applyBorder="1" applyFont="1" applyNumberFormat="1">
      <alignment horizontal="center"/>
    </xf>
    <xf borderId="10" fillId="0" fontId="4" numFmtId="10" xfId="0" applyBorder="1" applyFont="1" applyNumberFormat="1"/>
    <xf borderId="12" fillId="0" fontId="4" numFmtId="10" xfId="0" applyBorder="1" applyFont="1" applyNumberFormat="1"/>
    <xf borderId="6" fillId="0" fontId="4" numFmtId="10" xfId="0" applyAlignment="1" applyBorder="1" applyFont="1" applyNumberFormat="1">
      <alignment horizontal="center"/>
    </xf>
    <xf borderId="5" fillId="2" fontId="4" numFmtId="165" xfId="0" applyAlignment="1" applyBorder="1" applyFont="1" applyNumberFormat="1">
      <alignment horizontal="left"/>
    </xf>
    <xf borderId="12" fillId="0" fontId="4" numFmtId="167" xfId="0" applyBorder="1" applyFont="1" applyNumberFormat="1"/>
    <xf borderId="10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10" fillId="0" fontId="4" numFmtId="0" xfId="0" applyAlignment="1" applyBorder="1" applyFont="1">
      <alignment horizontal="left" readingOrder="0"/>
    </xf>
    <xf borderId="10" fillId="0" fontId="4" numFmtId="3" xfId="0" applyAlignment="1" applyBorder="1" applyFont="1" applyNumberFormat="1">
      <alignment horizontal="left"/>
    </xf>
    <xf borderId="12" fillId="0" fontId="4" numFmtId="0" xfId="0" applyAlignment="1" applyBorder="1" applyFont="1">
      <alignment horizontal="left"/>
    </xf>
    <xf borderId="13" fillId="0" fontId="4" numFmtId="0" xfId="0" applyAlignment="1" applyBorder="1" applyFont="1">
      <alignment horizontal="left"/>
    </xf>
    <xf borderId="5" fillId="3" fontId="4" numFmtId="0" xfId="0" applyAlignment="1" applyBorder="1" applyFill="1" applyFont="1">
      <alignment readingOrder="0"/>
    </xf>
    <xf borderId="5" fillId="3" fontId="4" numFmtId="0" xfId="0" applyBorder="1" applyFont="1"/>
    <xf borderId="2" fillId="0" fontId="4" numFmtId="0" xfId="0" applyAlignment="1" applyBorder="1" applyFont="1">
      <alignment readingOrder="0"/>
    </xf>
    <xf borderId="2" fillId="0" fontId="4" numFmtId="0" xfId="0" applyBorder="1" applyFont="1"/>
    <xf borderId="6" fillId="0" fontId="4" numFmtId="0" xfId="0" applyAlignment="1" applyBorder="1" applyFont="1">
      <alignment readingOrder="0"/>
    </xf>
    <xf borderId="2" fillId="0" fontId="4" numFmtId="49" xfId="0" applyAlignment="1" applyBorder="1" applyFont="1" applyNumberFormat="1">
      <alignment readingOrder="0"/>
    </xf>
    <xf borderId="6" fillId="0" fontId="4" numFmtId="0" xfId="0" applyBorder="1" applyFont="1"/>
    <xf borderId="15" fillId="3" fontId="4" numFmtId="0" xfId="0" applyAlignment="1" applyBorder="1" applyFont="1">
      <alignment readingOrder="0"/>
    </xf>
    <xf borderId="0" fillId="0" fontId="4" numFmtId="0" xfId="0" applyFont="1"/>
    <xf borderId="0" fillId="0" fontId="4" numFmtId="3" xfId="0" applyFont="1" applyNumberFormat="1"/>
    <xf borderId="0" fillId="0" fontId="4" numFmtId="165" xfId="0" applyFont="1" applyNumberFormat="1"/>
    <xf borderId="0" fillId="0" fontId="4" numFmtId="166" xfId="0" applyFont="1" applyNumberFormat="1"/>
    <xf borderId="0" fillId="0" fontId="4" numFmtId="10" xfId="0" applyFont="1" applyNumberFormat="1"/>
    <xf borderId="12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995" sheet="Dados_Brasil"/>
  </cacheSource>
  <cacheFields>
    <cacheField name="rank" numFmtId="0">
      <sharedItems containsString="0" containsBlank="1" containsNumber="1" containsInteger="1">
        <n v="1.0"/>
        <n v="2.0"/>
        <n v="3.0"/>
        <n v="4.0"/>
        <n v="6.0"/>
        <n v="7.0"/>
        <n v="8.0"/>
        <n v="9.0"/>
        <n v="10.0"/>
        <n v="11.0"/>
        <n v="13.0"/>
        <n v="14.0"/>
        <n v="15.0"/>
        <n v="16.0"/>
        <n v="17.0"/>
        <n v="18.0"/>
        <n v="19.0"/>
        <n v="20.0"/>
        <n v="21.0"/>
        <n v="22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3.0"/>
        <n v="44.0"/>
        <n v="45.0"/>
        <n v="46.0"/>
        <n v="47.0"/>
        <n v="49.0"/>
        <n v="50.0"/>
        <n v="51.0"/>
        <n v="52.0"/>
        <n v="53.0"/>
        <n v="54.0"/>
        <n v="55.0"/>
        <m/>
      </sharedItems>
    </cacheField>
    <cacheField name="Youtuber" numFmtId="49">
      <sharedItems containsBlank="1">
        <s v="Canal KondZilla"/>
        <s v="Felipe Neto"/>
        <s v="Você Sabia?"/>
        <s v="whindersson nunes"/>
        <s v="GR6 EXPLODE"/>
        <s v="Maria Clara &amp; JP"/>
        <s v="Galinha Pintadinha"/>
        <s v="rezende evil"/>
        <s v="Enaldinho"/>
        <s v="Renato Garcia YT"/>
        <s v="Spider Slack"/>
        <s v="Valentina Pontes ofc"/>
        <s v="DUDU e CAROL"/>
        <s v="Rafa &amp; Luiz"/>
        <s v="Fatos Desconhecidos"/>
        <s v="Canal Canalha"/>
        <s v="Totoy kids - Português"/>
        <s v="Authentic Games"/>
        <s v="Gusttavo Lima Oficial"/>
        <s v="Turma da Mônica"/>
        <s v="INCRÍVEL"/>
        <s v="Manual do Mundo"/>
        <s v="Porta dos Fundos"/>
        <s v="Anitta"/>
        <s v="Bispo Bruno Leonardo"/>
        <s v="Gato Galactico"/>
        <s v="T3ddy"/>
        <s v="Canal IN"/>
        <s v="MK MUSIC"/>
        <s v="Juliana Baltar"/>
        <s v="Henrique e Juliano"/>
        <s v="Little Angel - Músicas Infantis Português"/>
        <s v="TazerCraft"/>
        <s v="Jorge &amp; Mateus Oficial"/>
        <s v="Camila Loures"/>
        <s v="O Reino Infantil"/>
        <s v="Planeta das Gêmeas"/>
        <s v="IDEIAS INCRÍVEIS"/>
        <s v="Invento na Hora"/>
        <s v="Crescendo com Luluca"/>
        <s v="AM3NlC"/>
        <s v="Jazz ghost"/>
        <s v="Wesley Safadão"/>
        <s v="MAIKI021"/>
        <s v="MC Divertida"/>
        <s v="Painzeiro"/>
        <s v="Hungria Hip Hop"/>
        <s v="Peppa Pig em Português"/>
        <s v="RedeTV"/>
        <s v="7 Minutoz"/>
        <s v="Everson Zoio"/>
        <s v="Pastor Antônio Jr."/>
        <s v="Matheus Yurley"/>
        <s v="Piuzinho"/>
        <s v="Mundo Bita"/>
        <s v="Parafernalha"/>
        <s v="Natan por Aí"/>
        <m/>
      </sharedItems>
    </cacheField>
    <cacheField name="subscribers" numFmtId="3">
      <sharedItems containsString="0" containsBlank="1" containsNumber="1" containsInteger="1">
        <n v="6.65E7"/>
        <n v="4.52E7"/>
        <n v="4.47E7"/>
        <n v="4.42E7"/>
        <n v="3.89E7"/>
        <n v="3.7E7"/>
        <n v="3.38E7"/>
        <n v="3.21E7"/>
        <n v="2.92E7"/>
        <n v="2.69E7"/>
        <n v="2.4E7"/>
        <n v="2.34E7"/>
        <n v="2.16E7"/>
        <n v="2.1E7"/>
        <n v="2.09E7"/>
        <n v="2.08E7"/>
        <n v="2.04E7"/>
        <n v="2.01E7"/>
        <n v="1.99E7"/>
        <n v="1.9E7"/>
        <n v="1.82E7"/>
        <n v="1.8E7"/>
        <n v="1.77E7"/>
        <n v="1.72E7"/>
        <n v="1.69E7"/>
        <n v="1.68E7"/>
        <n v="1.62E7"/>
        <n v="1.61E7"/>
        <n v="1.59E7"/>
        <n v="1.56E7"/>
        <n v="1.55E7"/>
        <n v="1.5E7"/>
        <n v="1.49E7"/>
        <n v="1.48E7"/>
        <n v="1.47E7"/>
        <n v="1.46E7"/>
        <n v="1.45E7"/>
        <n v="1.42E7"/>
        <n v="1.4E7"/>
        <n v="1.39E7"/>
        <n v="1.37E7"/>
        <n v="1.32E7"/>
        <n v="1.31E7"/>
        <n v="1.3E7"/>
        <n v="1.29E7"/>
        <n v="1.27E7"/>
        <n v="1.25E7"/>
        <n v="1.23E7"/>
        <m/>
      </sharedItems>
    </cacheField>
    <cacheField name="video views" numFmtId="3">
      <sharedItems containsString="0" containsBlank="1" containsNumber="1" containsInteger="1">
        <n v="3.6775585925E10"/>
        <n v="1.6602198273E10"/>
        <n v="7.828610828E9"/>
        <n v="4.27470921E9"/>
        <n v="2.5154232306E10"/>
        <n v="2.4188861917E10"/>
        <n v="2.7274550757E10"/>
        <n v="1.3061739758E10"/>
        <n v="1.1627437847E10"/>
        <n v="7.938616641E9"/>
        <n v="1.3943030228E10"/>
        <n v="7.926899136E9"/>
        <n v="9.597894786E9"/>
        <n v="7.762905663E9"/>
        <n v="3.828000587E9"/>
        <n v="1.87060817E9"/>
        <n v="1.796227417E9"/>
        <n v="8.920141342E9"/>
        <n v="1.3917423958E10"/>
        <n v="1.3824277846E10"/>
        <n v="3.213324455E9"/>
        <n v="3.980991248E9"/>
        <n v="7.739048E9"/>
        <n v="7.337212581E9"/>
        <n v="3.523578665E9"/>
        <n v="3.693798804E9"/>
        <n v="2.990185467E9"/>
        <n v="2.687443643E9"/>
        <n v="9.198986881E9"/>
        <n v="3.869457097E9"/>
        <n v="1.4619523361E10"/>
        <n v="8.897705695E9"/>
        <n v="5.956193599E9"/>
        <n v="9.076642765E9"/>
        <n v="4.684983333E9"/>
        <n v="1.1182302317E10"/>
        <n v="4.622581344E9"/>
        <n v="3.551889957E9"/>
        <n v="4.040297006E9"/>
        <n v="5.094050461E9"/>
        <n v="4.95998272E9"/>
        <n v="5.673347763E9"/>
        <n v="8.134379376E9"/>
        <n v="1.950178163E9"/>
        <n v="5.224764969E9"/>
        <n v="2.555801802E9"/>
        <n v="4.608751851E9"/>
        <n v="4.214172991E9"/>
        <n v="5.333569294E9"/>
        <n v="4.349562794E9"/>
        <n v="1.024467771E9"/>
        <n v="2.11227421E9"/>
        <n v="1.40022442E8"/>
        <n v="1.081285962E9"/>
        <n v="1.6690788752E10"/>
        <n v="4.625777945E9"/>
        <n v="9.029609749E9"/>
        <m/>
      </sharedItems>
    </cacheField>
    <cacheField name="category" numFmtId="0">
      <sharedItems containsBlank="1">
        <s v="Music"/>
        <s v="Entertainment"/>
        <s v="Comedy"/>
        <s v="People &amp; Blogs"/>
        <s v="Film &amp; Animation"/>
        <s v="Gaming"/>
        <s v="Autos &amp; Vehicles"/>
        <s v="Howto &amp; Style"/>
        <s v="Nonprofits &amp; Activism"/>
        <s v="Sports"/>
        <m/>
      </sharedItems>
    </cacheField>
    <cacheField name="uploads" numFmtId="3">
      <sharedItems containsString="0" containsBlank="1" containsNumber="1" containsInteger="1">
        <n v="2572.0"/>
        <n v="4331.0"/>
        <n v="1558.0"/>
        <n v="558.0"/>
        <n v="3043.0"/>
        <n v="744.0"/>
        <n v="66.0"/>
        <n v="11882.0"/>
        <n v="3654.0"/>
        <n v="3956.0"/>
        <n v="901.0"/>
        <n v="1291.0"/>
        <n v="2942.0"/>
        <n v="2883.0"/>
        <n v="6262.0"/>
        <n v="288.0"/>
        <n v="206.0"/>
        <n v="4974.0"/>
        <n v="416.0"/>
        <n v="1154.0"/>
        <n v="6903.0"/>
        <n v="2470.0"/>
        <n v="2240.0"/>
        <n v="138.0"/>
        <n v="4891.0"/>
        <n v="1491.0"/>
        <n v="1930.0"/>
        <n v="723.0"/>
        <n v="5105.0"/>
        <n v="2019.0"/>
        <n v="325.0"/>
        <n v="795.0"/>
        <n v="4175.0"/>
        <n v="318.0"/>
        <n v="3978.0"/>
        <n v="1206.0"/>
        <n v="951.0"/>
        <n v="5430.0"/>
        <n v="1281.0"/>
        <n v="1307.0"/>
        <n v="5757.0"/>
        <n v="5494.0"/>
        <n v="438.0"/>
        <n v="3298.0"/>
        <n v="413.0"/>
        <n v="1077.0"/>
        <n v="73.0"/>
        <n v="1365.0"/>
        <n v="36760.0"/>
        <n v="521.0"/>
        <n v="625.0"/>
        <n v="4712.0"/>
        <n v="69.0"/>
        <n v="504.0"/>
        <n v="253.0"/>
        <n v="1888.0"/>
        <n v="1200.0"/>
        <m/>
      </sharedItems>
    </cacheField>
    <cacheField name="Country" numFmtId="0">
      <sharedItems containsBlank="1">
        <s v="Brazil"/>
        <m/>
      </sharedItems>
    </cacheField>
    <cacheField name="channel_type" numFmtId="0">
      <sharedItems containsBlank="1">
        <s v="Music"/>
        <s v="Entertainment"/>
        <s v="Comedy"/>
        <s v="Film"/>
        <s v="Games"/>
        <s v="Howto"/>
        <s v="Tech"/>
        <s v="Nonprofit"/>
        <s v="People"/>
        <s v="Education"/>
        <m/>
      </sharedItems>
    </cacheField>
    <cacheField name="video_views_for_the_last_30_days" numFmtId="3">
      <sharedItems containsString="0" containsBlank="1" containsNumber="1" containsInteger="1">
        <n v="4.47223E8"/>
        <n v="1.30359E8"/>
        <n v="4.8032E7"/>
        <n v="2.6683E7"/>
        <n v="1.635E9"/>
        <n v="2.51449E8"/>
        <n v="4.03508E8"/>
        <n v="4.4505E7"/>
        <n v="3.031E8"/>
        <n v="8.2912E7"/>
        <n v="7.61451E8"/>
        <n v="2.8285E7"/>
        <n v="1.93174E8"/>
        <n v="1.1841E8"/>
        <n v="5.233E7"/>
        <n v="2.3897E7"/>
        <n v="3.9495E7"/>
        <n v="5420000.0"/>
        <n v="2.14803E8"/>
        <n v="7.6903E7"/>
        <n v="1.8045E7"/>
        <n v="5.4766E7"/>
        <n v="3.5337E7"/>
        <n v="7.2684E7"/>
        <n v="1.49543E8"/>
        <n v="4.4121E7"/>
        <n v="3.3015E7"/>
        <n v="1.3802E7"/>
        <n v="1.36388E8"/>
        <n v="5.6218E7"/>
        <n v="1.63678E8"/>
        <n v="1.45478E8"/>
        <n v="3.9775E7"/>
        <n v="8.812E7"/>
        <n v="4.0975E7"/>
        <n v="1.09865E8"/>
        <n v="1.0547E7"/>
        <n v="2838000.0"/>
        <n v="1.9029E7"/>
        <n v="6.8058E7"/>
        <n v="1.021E7"/>
        <n v="1.06718E8"/>
        <n v="6.4059E7"/>
        <n v="7438000.0"/>
        <n v="6.4517E7"/>
        <n v="4.399E7"/>
        <n v="4.8223E7"/>
        <n v="2.734E7"/>
        <n v="1.7588E7"/>
        <n v="2.9526E7"/>
        <n v="3052000.0"/>
        <n v="3.1796E7"/>
        <n v="147626.0"/>
        <n v="3619000.0"/>
        <n v="2.137E8"/>
        <n v="7158000.0"/>
        <n v="5.52513E8"/>
        <m/>
      </sharedItems>
    </cacheField>
    <cacheField name="lowest_monthly_earnings" numFmtId="3">
      <sharedItems containsString="0" containsBlank="1" containsNumber="1" containsInteger="1">
        <n v="0.0"/>
        <n v="32600.0"/>
        <n v="12000.0"/>
        <n v="6700.0"/>
        <n v="408700.0"/>
        <n v="62900.0"/>
        <n v="100900.0"/>
        <n v="11100.0"/>
        <n v="75800.0"/>
        <n v="20700.0"/>
        <n v="190400.0"/>
        <n v="7100.0"/>
        <n v="48300.0"/>
        <n v="29600.0"/>
        <n v="13100.0"/>
        <n v="6000.0"/>
        <n v="9900.0"/>
        <n v="1400.0"/>
        <n v="53700.0"/>
        <n v="19200.0"/>
        <n v="4500.0"/>
        <n v="13700.0"/>
        <n v="8800.0"/>
        <n v="18200.0"/>
        <n v="37400.0"/>
        <n v="11000.0"/>
        <n v="8300.0"/>
        <n v="3500.0"/>
        <n v="34100.0"/>
        <n v="14100.0"/>
        <n v="40900.0"/>
        <n v="36400.0"/>
        <n v="22000.0"/>
        <n v="10200.0"/>
        <n v="27500.0"/>
        <n v="2600.0"/>
        <n v="709.0"/>
        <n v="4800.0"/>
        <n v="17000.0"/>
        <n v="26700.0"/>
        <n v="16000.0"/>
        <n v="1900.0"/>
        <n v="16100.0"/>
        <n v="12100.0"/>
        <n v="6800.0"/>
        <n v="4400.0"/>
        <n v="7400.0"/>
        <n v="763.0"/>
        <n v="7900.0"/>
        <n v="37.0"/>
        <n v="905.0"/>
        <n v="53400.0"/>
        <n v="1800.0"/>
        <n v="138100.0"/>
        <m/>
      </sharedItems>
    </cacheField>
    <cacheField name="highest_monthly_earnings" numFmtId="3">
      <sharedItems containsString="0" containsBlank="1" containsNumber="1" containsInteger="1">
        <n v="0.0"/>
        <n v="521400.0"/>
        <n v="192100.0"/>
        <n v="106700.0"/>
        <n v="6500000.0"/>
        <n v="1000000.0"/>
        <n v="1600000.0"/>
        <n v="178000.0"/>
        <n v="1200000.0"/>
        <n v="331600.0"/>
        <n v="3000000.0"/>
        <n v="113100.0"/>
        <n v="772700.0"/>
        <n v="473600.0"/>
        <n v="209300.0"/>
        <n v="95600.0"/>
        <n v="158000.0"/>
        <n v="21700.0"/>
        <n v="859200.0"/>
        <n v="307600.0"/>
        <n v="72200.0"/>
        <n v="219100.0"/>
        <n v="141300.0"/>
        <n v="290700.0"/>
        <n v="598200.0"/>
        <n v="176500.0"/>
        <n v="132100.0"/>
        <n v="55200.0"/>
        <n v="545600.0"/>
        <n v="224900.0"/>
        <n v="654700.0"/>
        <n v="581900.0"/>
        <n v="159100.0"/>
        <n v="352500.0"/>
        <n v="163900.0"/>
        <n v="439500.0"/>
        <n v="42200.0"/>
        <n v="11400.0"/>
        <n v="76100.0"/>
        <n v="272200.0"/>
        <n v="40800.0"/>
        <n v="426900.0"/>
        <n v="256200.0"/>
        <n v="29800.0"/>
        <n v="258100.0"/>
        <n v="176000.0"/>
        <n v="192900.0"/>
        <n v="109400.0"/>
        <n v="70400.0"/>
        <n v="118100.0"/>
        <n v="12200.0"/>
        <n v="127200.0"/>
        <n v="591.0"/>
        <n v="14500.0"/>
        <n v="854800.0"/>
        <n v="28600.0"/>
        <n v="2200000.0"/>
        <m/>
      </sharedItems>
    </cacheField>
    <cacheField name="lowest_yearly_earnings" numFmtId="3">
      <sharedItems containsString="0" containsBlank="1" containsNumber="1" containsInteger="1">
        <n v="0.0"/>
        <n v="391100.0"/>
        <n v="144100.0"/>
        <n v="80100.0"/>
        <n v="4900000.0"/>
        <n v="754300.0"/>
        <n v="1200000.0"/>
        <n v="133500.0"/>
        <n v="909300.0"/>
        <n v="248700.0"/>
        <n v="2300000.0"/>
        <n v="84900.0"/>
        <n v="579500.0"/>
        <n v="355200.0"/>
        <n v="157000.0"/>
        <n v="71700.0"/>
        <n v="118500.0"/>
        <n v="16300.0"/>
        <n v="644400.0"/>
        <n v="230700.0"/>
        <n v="54100.0"/>
        <n v="164300.0"/>
        <n v="106000.0"/>
        <n v="218100.0"/>
        <n v="448600.0"/>
        <n v="132400.0"/>
        <n v="99000.0"/>
        <n v="41400.0"/>
        <n v="409200.0"/>
        <n v="168700.0"/>
        <n v="491000.0"/>
        <n v="436400.0"/>
        <n v="119300.0"/>
        <n v="264400.0"/>
        <n v="122900.0"/>
        <n v="329600.0"/>
        <n v="31600.0"/>
        <n v="8500.0"/>
        <n v="57100.0"/>
        <n v="204200.0"/>
        <n v="30600.0"/>
        <n v="320200.0"/>
        <n v="192200.0"/>
        <n v="22300.0"/>
        <n v="193600.0"/>
        <n v="132000.0"/>
        <n v="144700.0"/>
        <n v="82000.0"/>
        <n v="52800.0"/>
        <n v="88600.0"/>
        <n v="9200.0"/>
        <n v="95400.0"/>
        <n v="443.0"/>
        <n v="10900.0"/>
        <n v="641100.0"/>
        <n v="21500.0"/>
        <n v="1700000.0"/>
        <m/>
      </sharedItems>
    </cacheField>
    <cacheField name="highest_yearly_earnings" numFmtId="3">
      <sharedItems containsString="0" containsBlank="1" containsNumber="1" containsInteger="1">
        <n v="0.0"/>
        <n v="6300000.0"/>
        <n v="2300000.0"/>
        <n v="1300000.0"/>
        <n v="7.85E7"/>
        <n v="1.21E7"/>
        <n v="1.94E7"/>
        <n v="2100000.0"/>
        <n v="1.45E7"/>
        <n v="4000000.0"/>
        <n v="3.65E7"/>
        <n v="1400000.0"/>
        <n v="9300000.0"/>
        <n v="5700000.0"/>
        <n v="2500000.0"/>
        <n v="1100000.0"/>
        <n v="1900000.0"/>
        <n v="260200.0"/>
        <n v="1.03E7"/>
        <n v="3700000.0"/>
        <n v="866200.0"/>
        <n v="2600000.0"/>
        <n v="1700000.0"/>
        <n v="3500000.0"/>
        <n v="7200000.0"/>
        <n v="1600000.0"/>
        <n v="662500.0"/>
        <n v="6500000.0"/>
        <n v="2700000.0"/>
        <n v="7900000.0"/>
        <n v="7000000.0"/>
        <n v="4200000.0"/>
        <n v="2000000.0"/>
        <n v="5300000.0"/>
        <n v="506300.0"/>
        <n v="136200.0"/>
        <n v="913400.0"/>
        <n v="3300000.0"/>
        <n v="490100.0"/>
        <n v="5100000.0"/>
        <n v="3100000.0"/>
        <n v="357000.0"/>
        <n v="844200.0"/>
        <n v="146500.0"/>
        <n v="1500000.0"/>
        <n v="7100.0"/>
        <n v="173700.0"/>
        <n v="343600.0"/>
        <n v="2.65E7"/>
        <m/>
      </sharedItems>
    </cacheField>
    <cacheField name="created_date" numFmtId="164">
      <sharedItems containsDate="1" containsString="0" containsBlank="1">
        <d v="2012-03-21T00:00:00Z"/>
        <d v="2006-05-16T00:00:00Z"/>
        <d v="2013-09-01T00:00:00Z"/>
        <d v="2013-01-21T00:00:00Z"/>
        <d v="2014-08-05T00:00:00Z"/>
        <d v="2015-09-06T00:00:00Z"/>
        <d v="2006-08-30T00:00:00Z"/>
        <d v="2012-02-12T00:00:00Z"/>
        <d v="2012-01-17T00:00:00Z"/>
        <d v="2011-09-29T00:00:00Z"/>
        <d v="2020-05-18T00:00:00Z"/>
        <d v="2014-04-14T00:00:00Z"/>
        <d v="2013-03-02T00:00:00Z"/>
        <d v="2015-08-26T00:00:00Z"/>
        <d v="2013-09-26T00:00:00Z"/>
        <d v="2011-04-08T00:00:00Z"/>
        <d v="2014-01-22T00:00:00Z"/>
        <d v="2011-01-07T00:00:00Z"/>
        <d v="2010-01-19T00:00:00Z"/>
        <d v="2012-07-30T00:00:00Z"/>
        <d v="2017-06-20T00:00:00Z"/>
        <d v="2006-07-24T00:00:00Z"/>
        <d v="2012-03-12T00:00:00Z"/>
        <d v="2011-11-02T00:00:00Z"/>
        <d v="2016-04-10T00:00:00Z"/>
        <d v="2013-04-02T00:00:00Z"/>
        <d v="2012-01-16T00:00:00Z"/>
        <d v="2017-07-21T00:00:00Z"/>
        <d v="2010-01-18T00:00:00Z"/>
        <d v="2010-05-09T00:00:00Z"/>
        <d v="2009-06-27T00:00:00Z"/>
        <d v="2018-01-26T00:00:00Z"/>
        <d v="2011-07-13T00:00:00Z"/>
        <d v="2008-07-29T00:00:00Z"/>
        <d v="2014-05-27T00:00:00Z"/>
        <d v="2014-08-19T00:00:00Z"/>
        <d v="2015-11-21T00:00:00Z"/>
        <d v="2017-10-30T00:00:00Z"/>
        <d v="2014-10-18T00:00:00Z"/>
        <d v="2015-08-30T00:00:00Z"/>
        <d v="2012-12-15T00:00:00Z"/>
        <d v="2012-08-30T00:00:00Z"/>
        <d v="2009-06-21T00:00:00Z"/>
        <d v="2008-12-02T00:00:00Z"/>
        <d v="2018-11-07T00:00:00Z"/>
        <d v="2015-11-06T00:00:00Z"/>
        <d v="2013-04-13T00:00:00Z"/>
        <d v="2014-05-06T00:00:00Z"/>
        <d v="2011-10-18T00:00:00Z"/>
        <d v="2012-06-04T00:00:00Z"/>
        <d v="2009-03-26T00:00:00Z"/>
        <d v="2013-01-19T00:00:00Z"/>
        <d v="2015-12-07T00:00:00Z"/>
        <d v="2015-05-13T00:00:00Z"/>
        <d v="2011-05-13T00:00:00Z"/>
        <d v="2017-02-12T00:00:00Z"/>
        <m/>
      </sharedItems>
    </cacheField>
    <cacheField name="Views_por_Inscrito" numFmtId="3">
      <sharedItems containsString="0" containsBlank="1" containsNumber="1">
        <n v="553.0163296992481"/>
        <n v="367.30527152654867"/>
        <n v="175.13670756152126"/>
        <n v="96.71287805429864"/>
        <n v="646.6383626221079"/>
        <n v="653.7530247837838"/>
        <n v="806.9393715088758"/>
        <n v="406.907780623053"/>
        <n v="398.19992626712326"/>
        <n v="295.11586026022303"/>
        <n v="580.9595928333333"/>
        <n v="338.75637333333333"/>
        <n v="444.34698083333336"/>
        <n v="369.6621744285714"/>
        <n v="183.1579228229665"/>
        <n v="89.93308509615385"/>
        <n v="88.05036357843137"/>
        <n v="443.7881264676617"/>
        <n v="699.3680380904523"/>
        <n v="727.5935708421052"/>
        <n v="176.55628873626372"/>
        <n v="221.16618044444445"/>
        <n v="437.2343502824859"/>
        <n v="426.5821268023256"/>
        <n v="208.49577899408283"/>
        <n v="219.86897642857141"/>
        <n v="184.5793498148148"/>
        <n v="166.92196540372672"/>
        <n v="578.5526340251572"/>
        <n v="248.0421216025641"/>
        <n v="943.1950555483871"/>
        <n v="593.1803796666667"/>
        <n v="399.7445368456376"/>
        <n v="613.2866733108108"/>
        <n v="318.70634918367347"/>
        <n v="765.9111176027398"/>
        <n v="316.6151605479452"/>
        <n v="244.95792806896551"/>
        <n v="284.5279581690141"/>
        <n v="363.8607472142857"/>
        <n v="354.28448"/>
        <n v="408.154515323741"/>
        <n v="593.7503194160583"/>
        <n v="142.34877102189782"/>
        <n v="395.8155279545455"/>
        <n v="195.09937419847327"/>
        <n v="351.81311839694655"/>
        <n v="321.69259473282443"/>
        <n v="407.1426941984733"/>
        <n v="334.5817533846154"/>
        <n v="78.80521315384615"/>
        <n v="163.74218682170542"/>
        <n v="10.854452868217054"/>
        <n v="85.14062692913386"/>
        <n v="1335.26310016"/>
        <n v="370.0622356"/>
        <n v="734.1146137398374"/>
        <m/>
      </sharedItems>
    </cacheField>
    <cacheField name="Receita_Media_Mensal" numFmtId="165">
      <sharedItems containsString="0" containsBlank="1" containsNumber="1">
        <n v="0.0"/>
        <n v="277000.0"/>
        <n v="102050.0"/>
        <n v="56700.0"/>
        <n v="3454350.0"/>
        <n v="531450.0"/>
        <n v="850450.0"/>
        <n v="94550.0"/>
        <n v="637900.0"/>
        <n v="176150.0"/>
        <n v="1595200.0"/>
        <n v="60100.0"/>
        <n v="410500.0"/>
        <n v="251600.0"/>
        <n v="111200.0"/>
        <n v="50800.0"/>
        <n v="83950.0"/>
        <n v="11550.0"/>
        <n v="456450.0"/>
        <n v="163400.0"/>
        <n v="38350.0"/>
        <n v="116400.0"/>
        <n v="75050.0"/>
        <n v="154450.0"/>
        <n v="317800.0"/>
        <n v="93750.0"/>
        <n v="70200.0"/>
        <n v="29350.0"/>
        <n v="289850.0"/>
        <n v="119500.0"/>
        <n v="347800.0"/>
        <n v="309150.0"/>
        <n v="84500.0"/>
        <n v="187250.0"/>
        <n v="87050.0"/>
        <n v="233500.0"/>
        <n v="22400.0"/>
        <n v="6054.5"/>
        <n v="40450.0"/>
        <n v="144600.0"/>
        <n v="21700.0"/>
        <n v="226800.0"/>
        <n v="136100.0"/>
        <n v="15850.0"/>
        <n v="137100.0"/>
        <n v="93500.0"/>
        <n v="102500.0"/>
        <n v="58100.0"/>
        <n v="37400.0"/>
        <n v="62750.0"/>
        <n v="6481.5"/>
        <n v="67550.0"/>
        <n v="314.0"/>
        <n v="7702.5"/>
        <n v="454100.0"/>
        <n v="15200.0"/>
        <n v="1169050.0"/>
        <m/>
      </sharedItems>
    </cacheField>
    <cacheField name="Tamanho_Canal" numFmtId="0">
      <sharedItems containsBlank="1">
        <s v="Mega"/>
        <m/>
      </sharedItems>
    </cacheField>
    <cacheField name="Inscritos_por_Video" numFmtId="3">
      <sharedItems containsString="0" containsBlank="1" containsNumber="1">
        <n v="25855.365474339036"/>
        <n v="10436.38882475179"/>
        <n v="28690.629011553272"/>
        <n v="79211.46953405018"/>
        <n v="12783.437397305292"/>
        <n v="49731.18279569892"/>
        <n v="512121.2121212121"/>
        <n v="2701.565393031476"/>
        <n v="7991.242474001095"/>
        <n v="6799.797775530839"/>
        <n v="26637.069922308547"/>
        <n v="18125.48412083656"/>
        <n v="7341.94425560843"/>
        <n v="7284.079084287201"/>
        <n v="3337.591823698499"/>
        <n v="72222.22222222222"/>
        <n v="99029.12621359223"/>
        <n v="4041.0132689987936"/>
        <n v="47836.53846153846"/>
        <n v="16464.471403812826"/>
        <n v="2636.5348399246705"/>
        <n v="7287.44939271255"/>
        <n v="7901.785714285715"/>
        <n v="124637.68115942029"/>
        <n v="3455.326109180127"/>
        <n v="11267.605633802817"/>
        <n v="8393.78238341969"/>
        <n v="22268.32641770401"/>
        <n v="3114.5935357492654"/>
        <n v="7726.597325408618"/>
        <n v="47692.307692307695"/>
        <n v="18867.924528301886"/>
        <n v="3568.8622754491016"/>
        <n v="46540.88050314465"/>
        <n v="3695.3242835595775"/>
        <n v="12106.135986733001"/>
        <n v="15352.260778128286"/>
        <n v="2670.3499079189687"/>
        <n v="11085.089773614363"/>
        <n v="10711.553175210405"/>
        <n v="2431.822129581379"/>
        <n v="2530.0327630141974"/>
        <n v="31278.538812785388"/>
        <n v="4154.032747119466"/>
        <n v="31961.259079903146"/>
        <n v="12163.416898792944"/>
        <n v="179452.05479452055"/>
        <n v="9597.069597069598"/>
        <n v="356.36561479869425"/>
        <n v="24952.015355086372"/>
        <n v="20800.0"/>
        <n v="2737.6910016977927"/>
        <n v="186956.52173913043"/>
        <n v="25198.4126984127"/>
        <n v="49407.11462450593"/>
        <n v="6620.762711864407"/>
        <n v="10250.0"/>
        <m/>
      </sharedItems>
    </cacheField>
    <cacheField name="CPM_por_Milhao" numFmtId="166">
      <sharedItems containsString="0" containsBlank="1" containsNumber="1">
        <n v="0.0"/>
        <n v="2124.901234283786"/>
        <n v="2124.6252498334443"/>
        <n v="2124.948469062699"/>
        <n v="2112.7522935779816"/>
        <n v="2113.549864982561"/>
        <n v="2107.640988530587"/>
        <n v="2124.480395461184"/>
        <n v="2104.5859452325967"/>
        <n v="2124.541682747974"/>
        <n v="2094.9476722730683"/>
        <n v="2124.8011313417005"/>
        <n v="2125.0271775704805"/>
        <n v="2124.820538805844"/>
        <n v="2124.976113128225"/>
        <n v="2125.7898480980875"/>
        <n v="2125.58551715407"/>
        <n v="2130.9963099630995"/>
        <n v="2124.9703216435523"/>
        <n v="2124.7545609404056"/>
        <n v="2125.2424494319753"/>
        <n v="2125.406273965599"/>
        <n v="2123.8362056767696"/>
        <n v="2124.9518463485774"/>
        <n v="2125.1412637167905"/>
        <n v="2124.8385122730674"/>
        <n v="2126.306224443435"/>
        <n v="2126.5034053035793"/>
        <n v="2125.1869665953013"/>
        <n v="2125.653705218969"/>
        <n v="2124.903774484048"/>
        <n v="2125.0635834971613"/>
        <n v="2124.4500314267757"/>
        <n v="2124.943259192011"/>
        <n v="2124.4661378889564"/>
        <n v="2125.335639193556"/>
        <n v="2123.826680572675"/>
        <n v="2133.3685694150813"/>
        <n v="2125.7028745598823"/>
        <n v="2124.658379617385"/>
        <n v="2125.367286973555"/>
        <n v="2125.2272343934483"/>
        <n v="2124.60388079739"/>
        <n v="2130.9491798870663"/>
        <n v="2125.021312212285"/>
        <n v="2125.483064332803"/>
        <n v="2125.5417539348446"/>
        <n v="2125.091441111924"/>
        <n v="2126.449852171935"/>
        <n v="2125.2455462981775"/>
        <n v="2123.689384010485"/>
        <n v="2124.4810668008554"/>
        <n v="2126.9965995149905"/>
        <n v="2128.350373031224"/>
        <n v="2124.941506785213"/>
        <n v="2123.4981838502376"/>
        <n v="2115.8778164495675"/>
        <m/>
      </sharedItems>
    </cacheField>
    <cacheField name="Momentum_Percentual" numFmtId="10">
      <sharedItems containsString="0" containsBlank="1" containsNumber="1">
        <n v="0.012160866747631567"/>
        <n v="0.007851912009266966"/>
        <n v="0.006135443574255548"/>
        <n v="0.0062420620185296765"/>
        <n v="0.06499900216036432"/>
        <n v="0.010395238968365061"/>
        <n v="0.014794304170030734"/>
        <n v="0.003407279644562032"/>
        <n v="0.026067651703526668"/>
        <n v="0.01044413702656838"/>
        <n v="0.05461158640184797"/>
        <n v="0.0035682300877960863"/>
        <n v="0.020126705314771096"/>
        <n v="0.01525330915257317"/>
        <n v="0.013670321832685758"/>
        <n v="0.01277498964414338"/>
        <n v="0.02198775034063518"/>
        <n v="6.076136904333819E-4"/>
        <n v="0.015434106243241024"/>
        <n v="0.005562894558159621"/>
        <n v="0.005615679416350753"/>
        <n v="0.013756875257516265"/>
        <n v="0.004566065490225671"/>
        <n v="0.009906214273826285"/>
        <n v="0.04244065883512778"/>
        <n v="0.011944613754333762"/>
        <n v="0.011041121149292243"/>
        <n v="0.005135735603591223"/>
        <n v="0.014826415317723943"/>
        <n v="0.014528653139373468"/>
        <n v="0.011195850641522157"/>
        <n v="0.016350057530195708"/>
        <n v="0.006677922626067413"/>
        <n v="0.009708435407394817"/>
        <n v="0.008746028979736394"/>
        <n v="0.009824899818079207"/>
        <n v="0.0022816256145908073"/>
        <n v="7.99011240313603E-4"/>
        <n v="0.004709802267442514"/>
        <n v="0.013360291681649284"/>
        <n v="0.0020584749133964724"/>
        <n v="0.018810410441606487"/>
        <n v="0.007875093727371784"/>
        <n v="0.003814010504844321"/>
        <n v="0.012348306647820047"/>
        <n v="0.017211819776313"/>
        <n v="0.010463353541053995"/>
        <n v="0.006487631157617089"/>
        <n v="0.003297604105338169"/>
        <n v="0.006788268476254582"/>
        <n v="0.0029791078708321806"/>
        <n v="0.015052969850917225"/>
        <n v="0.0010543024238928785"/>
        <n v="0.0033469407050343266"/>
        <n v="0.012803469217378542"/>
        <n v="0.0015474153937149269"/>
        <n v="0.06118902315365169"/>
        <m/>
      </sharedItems>
    </cacheField>
    <cacheField name="Anos_no_YouTube" numFmtId="3">
      <sharedItems containsString="0" containsBlank="1" containsNumber="1" containsInteger="1">
        <n v="11.0"/>
        <n v="17.0"/>
        <n v="10.0"/>
        <n v="9.0"/>
        <n v="8.0"/>
        <n v="12.0"/>
        <n v="3.0"/>
        <n v="13.0"/>
        <n v="6.0"/>
        <n v="7.0"/>
        <n v="14.0"/>
        <n v="5.0"/>
        <n v="15.0"/>
        <m/>
      </sharedItems>
    </cacheField>
    <cacheField name="Classificacao_BCG" numFmtId="3">
      <sharedItems containsBlank="1">
        <s v="🐄 VACA LEITEIRA"/>
        <s v="🐕 EVITAR"/>
        <s v="⭐ ESTRELA"/>
        <s v="❓ INTERROGAÇÃO"/>
        <m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álise_por_Categoria" cacheId="0" dataCaption="" compact="0" compactData="0">
  <location ref="A1:I13" firstHeaderRow="0" firstDataRow="2" firstDataCol="0"/>
  <pivotFields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Youtuber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subscriber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video view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ategory" axis="axisRow" compact="0" outline="0" multipleItemSelectionAllowed="1" showAll="0" sortType="ascending">
      <items>
        <item x="10"/>
        <item x="6"/>
        <item x="2"/>
        <item x="1"/>
        <item x="4"/>
        <item x="5"/>
        <item x="7"/>
        <item x="0"/>
        <item x="8"/>
        <item x="3"/>
        <item x="9"/>
        <item t="default"/>
      </items>
    </pivotField>
    <pivotField name="upload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hannel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ideo_views_for_the_last_30_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lowest_monthly_earning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highest_monthly_earning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lowest_yearly_earning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highest_yearly_earning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rea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Views_por_Inscrit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Receita_Media_Mens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Tamanho_Canal" compact="0" outline="0" multipleItemSelectionAllowed="1" showAll="0">
      <items>
        <item x="0"/>
        <item x="1"/>
        <item t="default"/>
      </items>
    </pivotField>
    <pivotField name="Inscritos_por_Vide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CPM_por_Milhao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Momentum_Percentual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Anos_no_YouTub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lassificacao_BCG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4"/>
  </rowFields>
  <colFields>
    <field x="-2"/>
  </colFields>
  <dataFields>
    <dataField name="COUNTA of Youtuber" fld="1" subtotal="count" baseField="0"/>
    <dataField name="SUM of subscribers" fld="2" baseField="0"/>
    <dataField name="AVERAGE of subscribers" fld="2" subtotal="average" baseField="0"/>
    <dataField name="AVERAGE of Views_por_Inscrito" fld="14" subtotal="average" baseField="0"/>
    <dataField name="AVERAGE of Receita_Media_Mensal" fld="15" subtotal="average" baseField="0"/>
    <dataField name="AVERAGE of CPM_por_Milhao" fld="18" subtotal="average" baseField="0"/>
    <dataField name="AVERAGE of Momentum_Percentual" fld="19" subtotal="average" baseField="0"/>
    <dataField name="AVERAGE of Inscritos_por_Video" fld="1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3.13"/>
    <col customWidth="1" min="4" max="4" width="19.88"/>
    <col customWidth="1" min="5" max="5" width="17.25"/>
    <col customWidth="1" min="8" max="8" width="18.75"/>
    <col customWidth="1" min="9" max="9" width="31.0"/>
    <col customWidth="1" min="10" max="10" width="24.75"/>
    <col customWidth="1" min="11" max="11" width="25.38"/>
    <col customWidth="1" min="12" max="12" width="22.38"/>
    <col customWidth="1" min="13" max="13" width="22.88"/>
    <col customWidth="1" min="14" max="14" width="16.38"/>
    <col customWidth="1" min="15" max="15" width="20.88"/>
    <col customWidth="1" min="16" max="16" width="22.13"/>
    <col customWidth="1" min="17" max="17" width="15.38"/>
    <col customWidth="1" min="18" max="18" width="18.75"/>
    <col customWidth="1" min="19" max="19" width="15.38"/>
    <col customWidth="1" min="20" max="20" width="18.88"/>
    <col customWidth="1" min="21" max="21" width="18.13"/>
    <col customWidth="1" min="22" max="22" width="25.38"/>
    <col customWidth="1" min="23" max="23" width="1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</row>
    <row r="2">
      <c r="A2" s="5">
        <v>1.0</v>
      </c>
      <c r="B2" s="6" t="s">
        <v>23</v>
      </c>
      <c r="C2" s="7">
        <v>6.65E7</v>
      </c>
      <c r="D2" s="7">
        <v>3.6775585925E10</v>
      </c>
      <c r="E2" s="8" t="s">
        <v>24</v>
      </c>
      <c r="F2" s="7">
        <v>2572.0</v>
      </c>
      <c r="G2" s="5" t="s">
        <v>25</v>
      </c>
      <c r="H2" s="8" t="s">
        <v>24</v>
      </c>
      <c r="I2" s="7">
        <v>4.47223E8</v>
      </c>
      <c r="J2" s="7">
        <v>0.0</v>
      </c>
      <c r="K2" s="7">
        <v>0.0</v>
      </c>
      <c r="L2" s="7">
        <v>0.0</v>
      </c>
      <c r="M2" s="7">
        <v>0.0</v>
      </c>
      <c r="N2" s="9">
        <v>40989.0</v>
      </c>
      <c r="O2" s="7">
        <f t="shared" ref="O2:O58" si="1">D2/C2</f>
        <v>553.0163297</v>
      </c>
      <c r="P2" s="10">
        <f t="shared" ref="P2:P58" si="2">(J2+K2)/2</f>
        <v>0</v>
      </c>
      <c r="Q2" s="11" t="str">
        <f t="shared" ref="Q2:Q58" si="3">IF(C2&gt;=10000000,"Mega",IF(C2&gt;=1000000,"Grande",IF(C2&gt;=100000,"Médio","Pequeno")))</f>
        <v>Mega</v>
      </c>
      <c r="R2" s="12">
        <f t="shared" ref="R2:R58" si="4">C2/F2</f>
        <v>25855.36547</v>
      </c>
      <c r="S2" s="13">
        <f t="shared" ref="S2:S58" si="5">(P2/I2)*1000000</f>
        <v>0</v>
      </c>
      <c r="T2" s="14">
        <f t="shared" ref="T2:T58" si="6">I2/D2</f>
        <v>0.01216086675</v>
      </c>
      <c r="U2" s="12">
        <f t="shared" ref="U2:U58" si="7">2023-YEAR(N2)</f>
        <v>11</v>
      </c>
      <c r="V2" s="12" t="str">
        <f t="shared" ref="V2:V58" si="8">IF(AND(O2&gt;AVERAGE($O$2:$O$58),T2&gt;AVERAGE($T$2:$T$58)),"⭐ ESTRELA",IF(AND(O2&gt;AVERAGE($O$2:$O$58),T2&lt;=AVERAGE($T$2:$T$58)),"🐄 VACA LEITEIRA",IF(AND(O2&lt;=AVERAGE($O$2:$O$58),T2&gt;AVERAGE($T$2:$T$58)),"❓ INTERROGAÇÃO","🐕 EVITAR")))</f>
        <v>🐄 VACA LEITEIRA</v>
      </c>
      <c r="W2" s="12"/>
    </row>
    <row r="3">
      <c r="A3" s="5">
        <v>2.0</v>
      </c>
      <c r="B3" s="6" t="s">
        <v>26</v>
      </c>
      <c r="C3" s="7">
        <v>4.52E7</v>
      </c>
      <c r="D3" s="7">
        <v>1.6602198273E10</v>
      </c>
      <c r="E3" s="8" t="s">
        <v>27</v>
      </c>
      <c r="F3" s="7">
        <v>4331.0</v>
      </c>
      <c r="G3" s="5" t="s">
        <v>25</v>
      </c>
      <c r="H3" s="8" t="s">
        <v>27</v>
      </c>
      <c r="I3" s="7">
        <v>1.30359E8</v>
      </c>
      <c r="J3" s="7">
        <v>32600.0</v>
      </c>
      <c r="K3" s="7">
        <v>521400.0</v>
      </c>
      <c r="L3" s="7">
        <v>391100.0</v>
      </c>
      <c r="M3" s="7">
        <v>6300000.0</v>
      </c>
      <c r="N3" s="9">
        <v>38853.0</v>
      </c>
      <c r="O3" s="7">
        <f t="shared" si="1"/>
        <v>367.3052715</v>
      </c>
      <c r="P3" s="10">
        <f t="shared" si="2"/>
        <v>277000</v>
      </c>
      <c r="Q3" s="11" t="str">
        <f t="shared" si="3"/>
        <v>Mega</v>
      </c>
      <c r="R3" s="12">
        <f t="shared" si="4"/>
        <v>10436.38882</v>
      </c>
      <c r="S3" s="13">
        <f t="shared" si="5"/>
        <v>2124.901234</v>
      </c>
      <c r="T3" s="14">
        <f t="shared" si="6"/>
        <v>0.007851912009</v>
      </c>
      <c r="U3" s="12">
        <f t="shared" si="7"/>
        <v>17</v>
      </c>
      <c r="V3" s="12" t="str">
        <f t="shared" si="8"/>
        <v>🐕 EVITAR</v>
      </c>
      <c r="W3" s="12"/>
    </row>
    <row r="4">
      <c r="A4" s="5">
        <v>3.0</v>
      </c>
      <c r="B4" s="6" t="s">
        <v>28</v>
      </c>
      <c r="C4" s="7">
        <v>4.47E7</v>
      </c>
      <c r="D4" s="7">
        <v>7.828610828E9</v>
      </c>
      <c r="E4" s="8" t="s">
        <v>27</v>
      </c>
      <c r="F4" s="7">
        <v>1558.0</v>
      </c>
      <c r="G4" s="5" t="s">
        <v>25</v>
      </c>
      <c r="H4" s="8" t="s">
        <v>27</v>
      </c>
      <c r="I4" s="7">
        <v>4.8032E7</v>
      </c>
      <c r="J4" s="7">
        <v>12000.0</v>
      </c>
      <c r="K4" s="7">
        <v>192100.0</v>
      </c>
      <c r="L4" s="7">
        <v>144100.0</v>
      </c>
      <c r="M4" s="7">
        <v>2300000.0</v>
      </c>
      <c r="N4" s="9">
        <v>41518.0</v>
      </c>
      <c r="O4" s="7">
        <f t="shared" si="1"/>
        <v>175.1367076</v>
      </c>
      <c r="P4" s="10">
        <f t="shared" si="2"/>
        <v>102050</v>
      </c>
      <c r="Q4" s="11" t="str">
        <f t="shared" si="3"/>
        <v>Mega</v>
      </c>
      <c r="R4" s="12">
        <f t="shared" si="4"/>
        <v>28690.62901</v>
      </c>
      <c r="S4" s="13">
        <f t="shared" si="5"/>
        <v>2124.62525</v>
      </c>
      <c r="T4" s="14">
        <f t="shared" si="6"/>
        <v>0.006135443574</v>
      </c>
      <c r="U4" s="12">
        <f t="shared" si="7"/>
        <v>10</v>
      </c>
      <c r="V4" s="12" t="str">
        <f t="shared" si="8"/>
        <v>🐕 EVITAR</v>
      </c>
      <c r="W4" s="12"/>
    </row>
    <row r="5">
      <c r="A5" s="5">
        <v>4.0</v>
      </c>
      <c r="B5" s="6" t="s">
        <v>29</v>
      </c>
      <c r="C5" s="7">
        <v>4.42E7</v>
      </c>
      <c r="D5" s="7">
        <v>4.27470921E9</v>
      </c>
      <c r="E5" s="8" t="s">
        <v>30</v>
      </c>
      <c r="F5" s="7">
        <v>558.0</v>
      </c>
      <c r="G5" s="5" t="s">
        <v>25</v>
      </c>
      <c r="H5" s="8" t="s">
        <v>30</v>
      </c>
      <c r="I5" s="7">
        <v>2.6683E7</v>
      </c>
      <c r="J5" s="7">
        <v>6700.0</v>
      </c>
      <c r="K5" s="7">
        <v>106700.0</v>
      </c>
      <c r="L5" s="7">
        <v>80100.0</v>
      </c>
      <c r="M5" s="7">
        <v>1300000.0</v>
      </c>
      <c r="N5" s="9">
        <v>41295.0</v>
      </c>
      <c r="O5" s="7">
        <f t="shared" si="1"/>
        <v>96.71287805</v>
      </c>
      <c r="P5" s="10">
        <f t="shared" si="2"/>
        <v>56700</v>
      </c>
      <c r="Q5" s="11" t="str">
        <f t="shared" si="3"/>
        <v>Mega</v>
      </c>
      <c r="R5" s="12">
        <f t="shared" si="4"/>
        <v>79211.46953</v>
      </c>
      <c r="S5" s="13">
        <f t="shared" si="5"/>
        <v>2124.948469</v>
      </c>
      <c r="T5" s="14">
        <f t="shared" si="6"/>
        <v>0.006242062019</v>
      </c>
      <c r="U5" s="12">
        <f t="shared" si="7"/>
        <v>10</v>
      </c>
      <c r="V5" s="12" t="str">
        <f t="shared" si="8"/>
        <v>🐕 EVITAR</v>
      </c>
      <c r="W5" s="12"/>
    </row>
    <row r="6">
      <c r="A6" s="5">
        <v>6.0</v>
      </c>
      <c r="B6" s="6" t="s">
        <v>31</v>
      </c>
      <c r="C6" s="7">
        <v>3.89E7</v>
      </c>
      <c r="D6" s="7">
        <v>2.5154232306E10</v>
      </c>
      <c r="E6" s="8" t="s">
        <v>24</v>
      </c>
      <c r="F6" s="7">
        <v>3043.0</v>
      </c>
      <c r="G6" s="5" t="s">
        <v>25</v>
      </c>
      <c r="H6" s="8" t="s">
        <v>24</v>
      </c>
      <c r="I6" s="7">
        <v>1.635E9</v>
      </c>
      <c r="J6" s="7">
        <v>408700.0</v>
      </c>
      <c r="K6" s="7">
        <v>6500000.0</v>
      </c>
      <c r="L6" s="7">
        <v>4900000.0</v>
      </c>
      <c r="M6" s="7">
        <v>7.85E7</v>
      </c>
      <c r="N6" s="9">
        <v>41856.0</v>
      </c>
      <c r="O6" s="7">
        <f t="shared" si="1"/>
        <v>646.6383626</v>
      </c>
      <c r="P6" s="10">
        <f t="shared" si="2"/>
        <v>3454350</v>
      </c>
      <c r="Q6" s="11" t="str">
        <f t="shared" si="3"/>
        <v>Mega</v>
      </c>
      <c r="R6" s="12">
        <f t="shared" si="4"/>
        <v>12783.4374</v>
      </c>
      <c r="S6" s="13">
        <f t="shared" si="5"/>
        <v>2112.752294</v>
      </c>
      <c r="T6" s="14">
        <f t="shared" si="6"/>
        <v>0.06499900216</v>
      </c>
      <c r="U6" s="12">
        <f t="shared" si="7"/>
        <v>9</v>
      </c>
      <c r="V6" s="12" t="str">
        <f t="shared" si="8"/>
        <v>⭐ ESTRELA</v>
      </c>
      <c r="W6" s="12"/>
    </row>
    <row r="7">
      <c r="A7" s="5">
        <v>7.0</v>
      </c>
      <c r="B7" s="6" t="s">
        <v>32</v>
      </c>
      <c r="C7" s="7">
        <v>3.7E7</v>
      </c>
      <c r="D7" s="7">
        <v>2.4188861917E10</v>
      </c>
      <c r="E7" s="8" t="s">
        <v>33</v>
      </c>
      <c r="F7" s="7">
        <v>744.0</v>
      </c>
      <c r="G7" s="5" t="s">
        <v>25</v>
      </c>
      <c r="H7" s="8" t="s">
        <v>27</v>
      </c>
      <c r="I7" s="7">
        <v>2.51449E8</v>
      </c>
      <c r="J7" s="7">
        <v>62900.0</v>
      </c>
      <c r="K7" s="7">
        <v>1000000.0</v>
      </c>
      <c r="L7" s="7">
        <v>754300.0</v>
      </c>
      <c r="M7" s="7">
        <v>1.21E7</v>
      </c>
      <c r="N7" s="9">
        <v>42253.0</v>
      </c>
      <c r="O7" s="7">
        <f t="shared" si="1"/>
        <v>653.7530248</v>
      </c>
      <c r="P7" s="10">
        <f t="shared" si="2"/>
        <v>531450</v>
      </c>
      <c r="Q7" s="11" t="str">
        <f t="shared" si="3"/>
        <v>Mega</v>
      </c>
      <c r="R7" s="12">
        <f t="shared" si="4"/>
        <v>49731.1828</v>
      </c>
      <c r="S7" s="13">
        <f t="shared" si="5"/>
        <v>2113.549865</v>
      </c>
      <c r="T7" s="14">
        <f t="shared" si="6"/>
        <v>0.01039523897</v>
      </c>
      <c r="U7" s="12">
        <f t="shared" si="7"/>
        <v>8</v>
      </c>
      <c r="V7" s="12" t="str">
        <f t="shared" si="8"/>
        <v>🐄 VACA LEITEIRA</v>
      </c>
      <c r="W7" s="12"/>
    </row>
    <row r="8">
      <c r="A8" s="5">
        <v>8.0</v>
      </c>
      <c r="B8" s="6" t="s">
        <v>34</v>
      </c>
      <c r="C8" s="7">
        <v>3.38E7</v>
      </c>
      <c r="D8" s="7">
        <v>2.7274550757E10</v>
      </c>
      <c r="E8" s="8" t="s">
        <v>35</v>
      </c>
      <c r="F8" s="7">
        <v>66.0</v>
      </c>
      <c r="G8" s="5" t="s">
        <v>25</v>
      </c>
      <c r="H8" s="8" t="s">
        <v>36</v>
      </c>
      <c r="I8" s="7">
        <v>4.03508E8</v>
      </c>
      <c r="J8" s="7">
        <v>100900.0</v>
      </c>
      <c r="K8" s="7">
        <v>1600000.0</v>
      </c>
      <c r="L8" s="7">
        <v>1200000.0</v>
      </c>
      <c r="M8" s="7">
        <v>1.94E7</v>
      </c>
      <c r="N8" s="9">
        <v>38959.0</v>
      </c>
      <c r="O8" s="7">
        <f t="shared" si="1"/>
        <v>806.9393715</v>
      </c>
      <c r="P8" s="10">
        <f t="shared" si="2"/>
        <v>850450</v>
      </c>
      <c r="Q8" s="11" t="str">
        <f t="shared" si="3"/>
        <v>Mega</v>
      </c>
      <c r="R8" s="12">
        <f t="shared" si="4"/>
        <v>512121.2121</v>
      </c>
      <c r="S8" s="13">
        <f t="shared" si="5"/>
        <v>2107.640989</v>
      </c>
      <c r="T8" s="14">
        <f t="shared" si="6"/>
        <v>0.01479430417</v>
      </c>
      <c r="U8" s="12">
        <f t="shared" si="7"/>
        <v>17</v>
      </c>
      <c r="V8" s="12" t="str">
        <f t="shared" si="8"/>
        <v>⭐ ESTRELA</v>
      </c>
      <c r="W8" s="12"/>
    </row>
    <row r="9">
      <c r="A9" s="5">
        <v>9.0</v>
      </c>
      <c r="B9" s="6" t="s">
        <v>37</v>
      </c>
      <c r="C9" s="7">
        <v>3.21E7</v>
      </c>
      <c r="D9" s="7">
        <v>1.3061739758E10</v>
      </c>
      <c r="E9" s="8" t="s">
        <v>38</v>
      </c>
      <c r="F9" s="7">
        <v>11882.0</v>
      </c>
      <c r="G9" s="5" t="s">
        <v>25</v>
      </c>
      <c r="H9" s="8" t="s">
        <v>27</v>
      </c>
      <c r="I9" s="7">
        <v>4.4505E7</v>
      </c>
      <c r="J9" s="7">
        <v>11100.0</v>
      </c>
      <c r="K9" s="7">
        <v>178000.0</v>
      </c>
      <c r="L9" s="7">
        <v>133500.0</v>
      </c>
      <c r="M9" s="7">
        <v>2100000.0</v>
      </c>
      <c r="N9" s="9">
        <v>40951.0</v>
      </c>
      <c r="O9" s="7">
        <f t="shared" si="1"/>
        <v>406.9077806</v>
      </c>
      <c r="P9" s="10">
        <f t="shared" si="2"/>
        <v>94550</v>
      </c>
      <c r="Q9" s="11" t="str">
        <f t="shared" si="3"/>
        <v>Mega</v>
      </c>
      <c r="R9" s="12">
        <f t="shared" si="4"/>
        <v>2701.565393</v>
      </c>
      <c r="S9" s="13">
        <f t="shared" si="5"/>
        <v>2124.480395</v>
      </c>
      <c r="T9" s="14">
        <f t="shared" si="6"/>
        <v>0.003407279645</v>
      </c>
      <c r="U9" s="12">
        <f t="shared" si="7"/>
        <v>11</v>
      </c>
      <c r="V9" s="12" t="str">
        <f t="shared" si="8"/>
        <v>🐄 VACA LEITEIRA</v>
      </c>
      <c r="W9" s="12"/>
    </row>
    <row r="10">
      <c r="A10" s="5">
        <v>10.0</v>
      </c>
      <c r="B10" s="6" t="s">
        <v>39</v>
      </c>
      <c r="C10" s="7">
        <v>2.92E7</v>
      </c>
      <c r="D10" s="7">
        <v>1.1627437847E10</v>
      </c>
      <c r="E10" s="8" t="s">
        <v>30</v>
      </c>
      <c r="F10" s="7">
        <v>3654.0</v>
      </c>
      <c r="G10" s="5" t="s">
        <v>25</v>
      </c>
      <c r="H10" s="8" t="s">
        <v>40</v>
      </c>
      <c r="I10" s="7">
        <v>3.031E8</v>
      </c>
      <c r="J10" s="7">
        <v>75800.0</v>
      </c>
      <c r="K10" s="7">
        <v>1200000.0</v>
      </c>
      <c r="L10" s="7">
        <v>909300.0</v>
      </c>
      <c r="M10" s="7">
        <v>1.45E7</v>
      </c>
      <c r="N10" s="9">
        <v>40925.0</v>
      </c>
      <c r="O10" s="7">
        <f t="shared" si="1"/>
        <v>398.1999263</v>
      </c>
      <c r="P10" s="10">
        <f t="shared" si="2"/>
        <v>637900</v>
      </c>
      <c r="Q10" s="11" t="str">
        <f t="shared" si="3"/>
        <v>Mega</v>
      </c>
      <c r="R10" s="12">
        <f t="shared" si="4"/>
        <v>7991.242474</v>
      </c>
      <c r="S10" s="13">
        <f t="shared" si="5"/>
        <v>2104.585945</v>
      </c>
      <c r="T10" s="14">
        <f t="shared" si="6"/>
        <v>0.0260676517</v>
      </c>
      <c r="U10" s="12">
        <f t="shared" si="7"/>
        <v>11</v>
      </c>
      <c r="V10" s="12" t="str">
        <f t="shared" si="8"/>
        <v>⭐ ESTRELA</v>
      </c>
      <c r="W10" s="12"/>
    </row>
    <row r="11">
      <c r="A11" s="5">
        <v>11.0</v>
      </c>
      <c r="B11" s="6" t="s">
        <v>41</v>
      </c>
      <c r="C11" s="7">
        <v>2.69E7</v>
      </c>
      <c r="D11" s="7">
        <v>7.938616641E9</v>
      </c>
      <c r="E11" s="8" t="s">
        <v>27</v>
      </c>
      <c r="F11" s="7">
        <v>3956.0</v>
      </c>
      <c r="G11" s="5" t="s">
        <v>25</v>
      </c>
      <c r="H11" s="8" t="s">
        <v>27</v>
      </c>
      <c r="I11" s="7">
        <v>8.2912E7</v>
      </c>
      <c r="J11" s="7">
        <v>20700.0</v>
      </c>
      <c r="K11" s="7">
        <v>331600.0</v>
      </c>
      <c r="L11" s="7">
        <v>248700.0</v>
      </c>
      <c r="M11" s="7">
        <v>4000000.0</v>
      </c>
      <c r="N11" s="9">
        <v>40815.0</v>
      </c>
      <c r="O11" s="7">
        <f t="shared" si="1"/>
        <v>295.1158603</v>
      </c>
      <c r="P11" s="10">
        <f t="shared" si="2"/>
        <v>176150</v>
      </c>
      <c r="Q11" s="11" t="str">
        <f t="shared" si="3"/>
        <v>Mega</v>
      </c>
      <c r="R11" s="12">
        <f t="shared" si="4"/>
        <v>6799.797776</v>
      </c>
      <c r="S11" s="13">
        <f t="shared" si="5"/>
        <v>2124.541683</v>
      </c>
      <c r="T11" s="14">
        <f t="shared" si="6"/>
        <v>0.01044413703</v>
      </c>
      <c r="U11" s="12">
        <f t="shared" si="7"/>
        <v>12</v>
      </c>
      <c r="V11" s="12" t="str">
        <f t="shared" si="8"/>
        <v>🐕 EVITAR</v>
      </c>
      <c r="W11" s="12"/>
    </row>
    <row r="12">
      <c r="A12" s="5">
        <v>13.0</v>
      </c>
      <c r="B12" s="6" t="s">
        <v>42</v>
      </c>
      <c r="C12" s="7">
        <v>2.4E7</v>
      </c>
      <c r="D12" s="7">
        <v>1.3943030228E10</v>
      </c>
      <c r="E12" s="8" t="s">
        <v>30</v>
      </c>
      <c r="F12" s="7">
        <v>901.0</v>
      </c>
      <c r="G12" s="5" t="s">
        <v>25</v>
      </c>
      <c r="H12" s="8" t="s">
        <v>30</v>
      </c>
      <c r="I12" s="7">
        <v>7.61451E8</v>
      </c>
      <c r="J12" s="7">
        <v>190400.0</v>
      </c>
      <c r="K12" s="7">
        <v>3000000.0</v>
      </c>
      <c r="L12" s="7">
        <v>2300000.0</v>
      </c>
      <c r="M12" s="7">
        <v>3.65E7</v>
      </c>
      <c r="N12" s="9">
        <v>43969.0</v>
      </c>
      <c r="O12" s="7">
        <f t="shared" si="1"/>
        <v>580.9595928</v>
      </c>
      <c r="P12" s="10">
        <f t="shared" si="2"/>
        <v>1595200</v>
      </c>
      <c r="Q12" s="11" t="str">
        <f t="shared" si="3"/>
        <v>Mega</v>
      </c>
      <c r="R12" s="12">
        <f t="shared" si="4"/>
        <v>26637.06992</v>
      </c>
      <c r="S12" s="13">
        <f t="shared" si="5"/>
        <v>2094.947672</v>
      </c>
      <c r="T12" s="14">
        <f t="shared" si="6"/>
        <v>0.0546115864</v>
      </c>
      <c r="U12" s="12">
        <f t="shared" si="7"/>
        <v>3</v>
      </c>
      <c r="V12" s="12" t="str">
        <f t="shared" si="8"/>
        <v>⭐ ESTRELA</v>
      </c>
      <c r="W12" s="12"/>
    </row>
    <row r="13">
      <c r="A13" s="5">
        <v>14.0</v>
      </c>
      <c r="B13" s="6" t="s">
        <v>43</v>
      </c>
      <c r="C13" s="7">
        <v>2.34E7</v>
      </c>
      <c r="D13" s="7">
        <v>7.926899136E9</v>
      </c>
      <c r="E13" s="8" t="s">
        <v>35</v>
      </c>
      <c r="F13" s="7">
        <v>1291.0</v>
      </c>
      <c r="G13" s="5" t="s">
        <v>25</v>
      </c>
      <c r="H13" s="8" t="s">
        <v>27</v>
      </c>
      <c r="I13" s="7">
        <v>2.8285E7</v>
      </c>
      <c r="J13" s="7">
        <v>7100.0</v>
      </c>
      <c r="K13" s="7">
        <v>113100.0</v>
      </c>
      <c r="L13" s="7">
        <v>84900.0</v>
      </c>
      <c r="M13" s="7">
        <v>1400000.0</v>
      </c>
      <c r="N13" s="9">
        <v>41743.0</v>
      </c>
      <c r="O13" s="7">
        <f t="shared" si="1"/>
        <v>338.7563733</v>
      </c>
      <c r="P13" s="10">
        <f t="shared" si="2"/>
        <v>60100</v>
      </c>
      <c r="Q13" s="11" t="str">
        <f t="shared" si="3"/>
        <v>Mega</v>
      </c>
      <c r="R13" s="12">
        <f t="shared" si="4"/>
        <v>18125.48412</v>
      </c>
      <c r="S13" s="13">
        <f t="shared" si="5"/>
        <v>2124.801131</v>
      </c>
      <c r="T13" s="14">
        <f t="shared" si="6"/>
        <v>0.003568230088</v>
      </c>
      <c r="U13" s="12">
        <f t="shared" si="7"/>
        <v>9</v>
      </c>
      <c r="V13" s="12" t="str">
        <f t="shared" si="8"/>
        <v>🐕 EVITAR</v>
      </c>
      <c r="W13" s="12"/>
    </row>
    <row r="14">
      <c r="A14" s="5">
        <v>15.0</v>
      </c>
      <c r="B14" s="6" t="s">
        <v>44</v>
      </c>
      <c r="C14" s="7">
        <v>2.16E7</v>
      </c>
      <c r="D14" s="7">
        <v>9.597894786E9</v>
      </c>
      <c r="E14" s="8" t="s">
        <v>45</v>
      </c>
      <c r="F14" s="7">
        <v>2942.0</v>
      </c>
      <c r="G14" s="5" t="s">
        <v>25</v>
      </c>
      <c r="H14" s="8" t="s">
        <v>27</v>
      </c>
      <c r="I14" s="7">
        <v>1.93174E8</v>
      </c>
      <c r="J14" s="7">
        <v>48300.0</v>
      </c>
      <c r="K14" s="7">
        <v>772700.0</v>
      </c>
      <c r="L14" s="7">
        <v>579500.0</v>
      </c>
      <c r="M14" s="7">
        <v>9300000.0</v>
      </c>
      <c r="N14" s="9">
        <v>41335.0</v>
      </c>
      <c r="O14" s="7">
        <f t="shared" si="1"/>
        <v>444.3469808</v>
      </c>
      <c r="P14" s="10">
        <f t="shared" si="2"/>
        <v>410500</v>
      </c>
      <c r="Q14" s="11" t="str">
        <f t="shared" si="3"/>
        <v>Mega</v>
      </c>
      <c r="R14" s="12">
        <f t="shared" si="4"/>
        <v>7341.944256</v>
      </c>
      <c r="S14" s="13">
        <f t="shared" si="5"/>
        <v>2125.027178</v>
      </c>
      <c r="T14" s="14">
        <f t="shared" si="6"/>
        <v>0.02012670531</v>
      </c>
      <c r="U14" s="12">
        <f t="shared" si="7"/>
        <v>10</v>
      </c>
      <c r="V14" s="12" t="str">
        <f t="shared" si="8"/>
        <v>⭐ ESTRELA</v>
      </c>
      <c r="W14" s="12"/>
    </row>
    <row r="15">
      <c r="A15" s="5">
        <v>16.0</v>
      </c>
      <c r="B15" s="6" t="s">
        <v>46</v>
      </c>
      <c r="C15" s="7">
        <v>2.1E7</v>
      </c>
      <c r="D15" s="7">
        <v>7.762905663E9</v>
      </c>
      <c r="E15" s="8" t="s">
        <v>27</v>
      </c>
      <c r="F15" s="7">
        <v>2883.0</v>
      </c>
      <c r="G15" s="5" t="s">
        <v>25</v>
      </c>
      <c r="H15" s="8" t="s">
        <v>27</v>
      </c>
      <c r="I15" s="7">
        <v>1.1841E8</v>
      </c>
      <c r="J15" s="7">
        <v>29600.0</v>
      </c>
      <c r="K15" s="7">
        <v>473600.0</v>
      </c>
      <c r="L15" s="7">
        <v>355200.0</v>
      </c>
      <c r="M15" s="7">
        <v>5700000.0</v>
      </c>
      <c r="N15" s="9">
        <v>42242.0</v>
      </c>
      <c r="O15" s="7">
        <f t="shared" si="1"/>
        <v>369.6621744</v>
      </c>
      <c r="P15" s="10">
        <f t="shared" si="2"/>
        <v>251600</v>
      </c>
      <c r="Q15" s="11" t="str">
        <f t="shared" si="3"/>
        <v>Mega</v>
      </c>
      <c r="R15" s="12">
        <f t="shared" si="4"/>
        <v>7284.079084</v>
      </c>
      <c r="S15" s="13">
        <f t="shared" si="5"/>
        <v>2124.820539</v>
      </c>
      <c r="T15" s="14">
        <f t="shared" si="6"/>
        <v>0.01525330915</v>
      </c>
      <c r="U15" s="12">
        <f t="shared" si="7"/>
        <v>8</v>
      </c>
      <c r="V15" s="12" t="str">
        <f t="shared" si="8"/>
        <v>❓ INTERROGAÇÃO</v>
      </c>
      <c r="W15" s="12"/>
    </row>
    <row r="16">
      <c r="A16" s="5">
        <v>17.0</v>
      </c>
      <c r="B16" s="6" t="s">
        <v>47</v>
      </c>
      <c r="C16" s="7">
        <v>2.09E7</v>
      </c>
      <c r="D16" s="7">
        <v>3.828000587E9</v>
      </c>
      <c r="E16" s="8" t="s">
        <v>27</v>
      </c>
      <c r="F16" s="7">
        <v>6262.0</v>
      </c>
      <c r="G16" s="5" t="s">
        <v>25</v>
      </c>
      <c r="H16" s="8" t="s">
        <v>27</v>
      </c>
      <c r="I16" s="7">
        <v>5.233E7</v>
      </c>
      <c r="J16" s="7">
        <v>13100.0</v>
      </c>
      <c r="K16" s="7">
        <v>209300.0</v>
      </c>
      <c r="L16" s="7">
        <v>157000.0</v>
      </c>
      <c r="M16" s="7">
        <v>2500000.0</v>
      </c>
      <c r="N16" s="9">
        <v>41543.0</v>
      </c>
      <c r="O16" s="7">
        <f t="shared" si="1"/>
        <v>183.1579228</v>
      </c>
      <c r="P16" s="10">
        <f t="shared" si="2"/>
        <v>111200</v>
      </c>
      <c r="Q16" s="11" t="str">
        <f t="shared" si="3"/>
        <v>Mega</v>
      </c>
      <c r="R16" s="12">
        <f t="shared" si="4"/>
        <v>3337.591824</v>
      </c>
      <c r="S16" s="13">
        <f t="shared" si="5"/>
        <v>2124.976113</v>
      </c>
      <c r="T16" s="14">
        <f t="shared" si="6"/>
        <v>0.01367032183</v>
      </c>
      <c r="U16" s="12">
        <f t="shared" si="7"/>
        <v>10</v>
      </c>
      <c r="V16" s="12" t="str">
        <f t="shared" si="8"/>
        <v>❓ INTERROGAÇÃO</v>
      </c>
      <c r="W16" s="12"/>
    </row>
    <row r="17">
      <c r="A17" s="5">
        <v>18.0</v>
      </c>
      <c r="B17" s="6" t="s">
        <v>48</v>
      </c>
      <c r="C17" s="7">
        <v>2.08E7</v>
      </c>
      <c r="D17" s="7">
        <v>1.87060817E9</v>
      </c>
      <c r="E17" s="8" t="s">
        <v>30</v>
      </c>
      <c r="F17" s="7">
        <v>288.0</v>
      </c>
      <c r="G17" s="5" t="s">
        <v>25</v>
      </c>
      <c r="H17" s="8" t="s">
        <v>30</v>
      </c>
      <c r="I17" s="7">
        <v>2.3897E7</v>
      </c>
      <c r="J17" s="7">
        <v>6000.0</v>
      </c>
      <c r="K17" s="7">
        <v>95600.0</v>
      </c>
      <c r="L17" s="7">
        <v>71700.0</v>
      </c>
      <c r="M17" s="7">
        <v>1100000.0</v>
      </c>
      <c r="N17" s="9">
        <v>40641.0</v>
      </c>
      <c r="O17" s="7">
        <f t="shared" si="1"/>
        <v>89.9330851</v>
      </c>
      <c r="P17" s="10">
        <f t="shared" si="2"/>
        <v>50800</v>
      </c>
      <c r="Q17" s="11" t="str">
        <f t="shared" si="3"/>
        <v>Mega</v>
      </c>
      <c r="R17" s="12">
        <f t="shared" si="4"/>
        <v>72222.22222</v>
      </c>
      <c r="S17" s="13">
        <f t="shared" si="5"/>
        <v>2125.789848</v>
      </c>
      <c r="T17" s="14">
        <f t="shared" si="6"/>
        <v>0.01277498964</v>
      </c>
      <c r="U17" s="12">
        <f t="shared" si="7"/>
        <v>12</v>
      </c>
      <c r="V17" s="12" t="str">
        <f t="shared" si="8"/>
        <v>🐕 EVITAR</v>
      </c>
      <c r="W17" s="12"/>
    </row>
    <row r="18">
      <c r="A18" s="5">
        <v>19.0</v>
      </c>
      <c r="B18" s="6" t="s">
        <v>49</v>
      </c>
      <c r="C18" s="7">
        <v>2.04E7</v>
      </c>
      <c r="D18" s="7">
        <v>1.796227417E9</v>
      </c>
      <c r="E18" s="8" t="s">
        <v>35</v>
      </c>
      <c r="F18" s="7">
        <v>206.0</v>
      </c>
      <c r="G18" s="5" t="s">
        <v>25</v>
      </c>
      <c r="H18" s="8" t="s">
        <v>36</v>
      </c>
      <c r="I18" s="7">
        <v>3.9495E7</v>
      </c>
      <c r="J18" s="7">
        <v>9900.0</v>
      </c>
      <c r="K18" s="7">
        <v>158000.0</v>
      </c>
      <c r="L18" s="7">
        <v>118500.0</v>
      </c>
      <c r="M18" s="7">
        <v>1900000.0</v>
      </c>
      <c r="N18" s="9">
        <v>41661.0</v>
      </c>
      <c r="O18" s="7">
        <f t="shared" si="1"/>
        <v>88.05036358</v>
      </c>
      <c r="P18" s="10">
        <f t="shared" si="2"/>
        <v>83950</v>
      </c>
      <c r="Q18" s="11" t="str">
        <f t="shared" si="3"/>
        <v>Mega</v>
      </c>
      <c r="R18" s="12">
        <f t="shared" si="4"/>
        <v>99029.12621</v>
      </c>
      <c r="S18" s="13">
        <f t="shared" si="5"/>
        <v>2125.585517</v>
      </c>
      <c r="T18" s="14">
        <f t="shared" si="6"/>
        <v>0.02198775034</v>
      </c>
      <c r="U18" s="12">
        <f t="shared" si="7"/>
        <v>9</v>
      </c>
      <c r="V18" s="12" t="str">
        <f t="shared" si="8"/>
        <v>❓ INTERROGAÇÃO</v>
      </c>
      <c r="W18" s="12"/>
    </row>
    <row r="19">
      <c r="A19" s="5">
        <v>20.0</v>
      </c>
      <c r="B19" s="6" t="s">
        <v>50</v>
      </c>
      <c r="C19" s="7">
        <v>2.01E7</v>
      </c>
      <c r="D19" s="7">
        <v>8.920141342E9</v>
      </c>
      <c r="E19" s="8" t="s">
        <v>38</v>
      </c>
      <c r="F19" s="7">
        <v>4974.0</v>
      </c>
      <c r="G19" s="5" t="s">
        <v>25</v>
      </c>
      <c r="H19" s="8" t="s">
        <v>40</v>
      </c>
      <c r="I19" s="7">
        <v>5420000.0</v>
      </c>
      <c r="J19" s="7">
        <v>1400.0</v>
      </c>
      <c r="K19" s="7">
        <v>21700.0</v>
      </c>
      <c r="L19" s="7">
        <v>16300.0</v>
      </c>
      <c r="M19" s="7">
        <v>260200.0</v>
      </c>
      <c r="N19" s="9">
        <v>40550.0</v>
      </c>
      <c r="O19" s="7">
        <f t="shared" si="1"/>
        <v>443.7881265</v>
      </c>
      <c r="P19" s="10">
        <f t="shared" si="2"/>
        <v>11550</v>
      </c>
      <c r="Q19" s="11" t="str">
        <f t="shared" si="3"/>
        <v>Mega</v>
      </c>
      <c r="R19" s="12">
        <f t="shared" si="4"/>
        <v>4041.013269</v>
      </c>
      <c r="S19" s="13">
        <f t="shared" si="5"/>
        <v>2130.99631</v>
      </c>
      <c r="T19" s="14">
        <f t="shared" si="6"/>
        <v>0.0006076136904</v>
      </c>
      <c r="U19" s="12">
        <f t="shared" si="7"/>
        <v>12</v>
      </c>
      <c r="V19" s="12" t="str">
        <f t="shared" si="8"/>
        <v>🐄 VACA LEITEIRA</v>
      </c>
      <c r="W19" s="12"/>
    </row>
    <row r="20">
      <c r="A20" s="5">
        <v>21.0</v>
      </c>
      <c r="B20" s="6" t="s">
        <v>51</v>
      </c>
      <c r="C20" s="7">
        <v>1.99E7</v>
      </c>
      <c r="D20" s="7">
        <v>1.3917423958E10</v>
      </c>
      <c r="E20" s="8" t="s">
        <v>24</v>
      </c>
      <c r="F20" s="7">
        <v>416.0</v>
      </c>
      <c r="G20" s="5" t="s">
        <v>25</v>
      </c>
      <c r="H20" s="8" t="s">
        <v>24</v>
      </c>
      <c r="I20" s="7">
        <v>2.14803E8</v>
      </c>
      <c r="J20" s="7">
        <v>53700.0</v>
      </c>
      <c r="K20" s="7">
        <v>859200.0</v>
      </c>
      <c r="L20" s="7">
        <v>644400.0</v>
      </c>
      <c r="M20" s="7">
        <v>1.03E7</v>
      </c>
      <c r="N20" s="9">
        <v>40197.0</v>
      </c>
      <c r="O20" s="7">
        <f t="shared" si="1"/>
        <v>699.3680381</v>
      </c>
      <c r="P20" s="10">
        <f t="shared" si="2"/>
        <v>456450</v>
      </c>
      <c r="Q20" s="11" t="str">
        <f t="shared" si="3"/>
        <v>Mega</v>
      </c>
      <c r="R20" s="12">
        <f t="shared" si="4"/>
        <v>47836.53846</v>
      </c>
      <c r="S20" s="13">
        <f t="shared" si="5"/>
        <v>2124.970322</v>
      </c>
      <c r="T20" s="14">
        <f t="shared" si="6"/>
        <v>0.01543410624</v>
      </c>
      <c r="U20" s="12">
        <f t="shared" si="7"/>
        <v>13</v>
      </c>
      <c r="V20" s="12" t="str">
        <f t="shared" si="8"/>
        <v>⭐ ESTRELA</v>
      </c>
      <c r="W20" s="12"/>
    </row>
    <row r="21">
      <c r="A21" s="5">
        <v>22.0</v>
      </c>
      <c r="B21" s="6" t="s">
        <v>52</v>
      </c>
      <c r="C21" s="7">
        <v>1.9E7</v>
      </c>
      <c r="D21" s="7">
        <v>1.3824277846E10</v>
      </c>
      <c r="E21" s="8" t="s">
        <v>35</v>
      </c>
      <c r="F21" s="7">
        <v>1154.0</v>
      </c>
      <c r="G21" s="5" t="s">
        <v>25</v>
      </c>
      <c r="H21" s="8" t="s">
        <v>36</v>
      </c>
      <c r="I21" s="7">
        <v>7.6903E7</v>
      </c>
      <c r="J21" s="7">
        <v>19200.0</v>
      </c>
      <c r="K21" s="7">
        <v>307600.0</v>
      </c>
      <c r="L21" s="7">
        <v>230700.0</v>
      </c>
      <c r="M21" s="7">
        <v>3700000.0</v>
      </c>
      <c r="N21" s="9">
        <v>41120.0</v>
      </c>
      <c r="O21" s="7">
        <f t="shared" si="1"/>
        <v>727.5935708</v>
      </c>
      <c r="P21" s="10">
        <f t="shared" si="2"/>
        <v>163400</v>
      </c>
      <c r="Q21" s="11" t="str">
        <f t="shared" si="3"/>
        <v>Mega</v>
      </c>
      <c r="R21" s="12">
        <f t="shared" si="4"/>
        <v>16464.4714</v>
      </c>
      <c r="S21" s="13">
        <f t="shared" si="5"/>
        <v>2124.754561</v>
      </c>
      <c r="T21" s="14">
        <f t="shared" si="6"/>
        <v>0.005562894558</v>
      </c>
      <c r="U21" s="12">
        <f t="shared" si="7"/>
        <v>11</v>
      </c>
      <c r="V21" s="12" t="str">
        <f t="shared" si="8"/>
        <v>🐄 VACA LEITEIRA</v>
      </c>
      <c r="W21" s="12"/>
    </row>
    <row r="22">
      <c r="A22" s="5">
        <v>25.0</v>
      </c>
      <c r="B22" s="6" t="s">
        <v>53</v>
      </c>
      <c r="C22" s="7">
        <v>1.82E7</v>
      </c>
      <c r="D22" s="7">
        <v>3.213324455E9</v>
      </c>
      <c r="E22" s="8" t="s">
        <v>33</v>
      </c>
      <c r="F22" s="7">
        <v>6903.0</v>
      </c>
      <c r="G22" s="5" t="s">
        <v>25</v>
      </c>
      <c r="H22" s="8" t="s">
        <v>54</v>
      </c>
      <c r="I22" s="7">
        <v>1.8045E7</v>
      </c>
      <c r="J22" s="7">
        <v>4500.0</v>
      </c>
      <c r="K22" s="7">
        <v>72200.0</v>
      </c>
      <c r="L22" s="7">
        <v>54100.0</v>
      </c>
      <c r="M22" s="7">
        <v>866200.0</v>
      </c>
      <c r="N22" s="9">
        <v>42906.0</v>
      </c>
      <c r="O22" s="7">
        <f t="shared" si="1"/>
        <v>176.5562887</v>
      </c>
      <c r="P22" s="10">
        <f t="shared" si="2"/>
        <v>38350</v>
      </c>
      <c r="Q22" s="11" t="str">
        <f t="shared" si="3"/>
        <v>Mega</v>
      </c>
      <c r="R22" s="12">
        <f t="shared" si="4"/>
        <v>2636.53484</v>
      </c>
      <c r="S22" s="13">
        <f t="shared" si="5"/>
        <v>2125.242449</v>
      </c>
      <c r="T22" s="14">
        <f t="shared" si="6"/>
        <v>0.005615679416</v>
      </c>
      <c r="U22" s="12">
        <f t="shared" si="7"/>
        <v>6</v>
      </c>
      <c r="V22" s="12" t="str">
        <f t="shared" si="8"/>
        <v>🐕 EVITAR</v>
      </c>
      <c r="W22" s="12"/>
    </row>
    <row r="23">
      <c r="A23" s="5">
        <v>26.0</v>
      </c>
      <c r="B23" s="6" t="s">
        <v>55</v>
      </c>
      <c r="C23" s="7">
        <v>1.8E7</v>
      </c>
      <c r="D23" s="7">
        <v>3.980991248E9</v>
      </c>
      <c r="E23" s="8" t="s">
        <v>56</v>
      </c>
      <c r="F23" s="7">
        <v>2470.0</v>
      </c>
      <c r="G23" s="5" t="s">
        <v>25</v>
      </c>
      <c r="H23" s="8" t="s">
        <v>57</v>
      </c>
      <c r="I23" s="7">
        <v>5.4766E7</v>
      </c>
      <c r="J23" s="7">
        <v>13700.0</v>
      </c>
      <c r="K23" s="7">
        <v>219100.0</v>
      </c>
      <c r="L23" s="7">
        <v>164300.0</v>
      </c>
      <c r="M23" s="7">
        <v>2600000.0</v>
      </c>
      <c r="N23" s="9">
        <v>38922.0</v>
      </c>
      <c r="O23" s="7">
        <f t="shared" si="1"/>
        <v>221.1661804</v>
      </c>
      <c r="P23" s="10">
        <f t="shared" si="2"/>
        <v>116400</v>
      </c>
      <c r="Q23" s="11" t="str">
        <f t="shared" si="3"/>
        <v>Mega</v>
      </c>
      <c r="R23" s="12">
        <f t="shared" si="4"/>
        <v>7287.449393</v>
      </c>
      <c r="S23" s="13">
        <f t="shared" si="5"/>
        <v>2125.406274</v>
      </c>
      <c r="T23" s="14">
        <f t="shared" si="6"/>
        <v>0.01375687526</v>
      </c>
      <c r="U23" s="12">
        <f t="shared" si="7"/>
        <v>17</v>
      </c>
      <c r="V23" s="12" t="str">
        <f t="shared" si="8"/>
        <v>❓ INTERROGAÇÃO</v>
      </c>
      <c r="W23" s="12"/>
    </row>
    <row r="24">
      <c r="A24" s="5">
        <v>27.0</v>
      </c>
      <c r="B24" s="6" t="s">
        <v>58</v>
      </c>
      <c r="C24" s="7">
        <v>1.77E7</v>
      </c>
      <c r="D24" s="7">
        <v>7.739048E9</v>
      </c>
      <c r="E24" s="8" t="s">
        <v>27</v>
      </c>
      <c r="F24" s="7">
        <v>2240.0</v>
      </c>
      <c r="G24" s="5" t="s">
        <v>25</v>
      </c>
      <c r="H24" s="8" t="s">
        <v>27</v>
      </c>
      <c r="I24" s="7">
        <v>3.5337E7</v>
      </c>
      <c r="J24" s="7">
        <v>8800.0</v>
      </c>
      <c r="K24" s="7">
        <v>141300.0</v>
      </c>
      <c r="L24" s="7">
        <v>106000.0</v>
      </c>
      <c r="M24" s="7">
        <v>1700000.0</v>
      </c>
      <c r="N24" s="9">
        <v>40980.0</v>
      </c>
      <c r="O24" s="7">
        <f t="shared" si="1"/>
        <v>437.2343503</v>
      </c>
      <c r="P24" s="10">
        <f t="shared" si="2"/>
        <v>75050</v>
      </c>
      <c r="Q24" s="11" t="str">
        <f t="shared" si="3"/>
        <v>Mega</v>
      </c>
      <c r="R24" s="12">
        <f t="shared" si="4"/>
        <v>7901.785714</v>
      </c>
      <c r="S24" s="13">
        <f t="shared" si="5"/>
        <v>2123.836206</v>
      </c>
      <c r="T24" s="14">
        <f t="shared" si="6"/>
        <v>0.00456606549</v>
      </c>
      <c r="U24" s="12">
        <f t="shared" si="7"/>
        <v>11</v>
      </c>
      <c r="V24" s="12" t="str">
        <f t="shared" si="8"/>
        <v>🐄 VACA LEITEIRA</v>
      </c>
      <c r="W24" s="12"/>
    </row>
    <row r="25">
      <c r="A25" s="5">
        <v>28.0</v>
      </c>
      <c r="B25" s="6" t="s">
        <v>59</v>
      </c>
      <c r="C25" s="7">
        <v>1.72E7</v>
      </c>
      <c r="D25" s="7">
        <v>7.337212581E9</v>
      </c>
      <c r="E25" s="8" t="s">
        <v>24</v>
      </c>
      <c r="F25" s="7">
        <v>138.0</v>
      </c>
      <c r="G25" s="5" t="s">
        <v>25</v>
      </c>
      <c r="H25" s="8" t="s">
        <v>24</v>
      </c>
      <c r="I25" s="7">
        <v>7.2684E7</v>
      </c>
      <c r="J25" s="7">
        <v>18200.0</v>
      </c>
      <c r="K25" s="7">
        <v>290700.0</v>
      </c>
      <c r="L25" s="7">
        <v>218100.0</v>
      </c>
      <c r="M25" s="7">
        <v>3500000.0</v>
      </c>
      <c r="N25" s="9">
        <v>40849.0</v>
      </c>
      <c r="O25" s="7">
        <f t="shared" si="1"/>
        <v>426.5821268</v>
      </c>
      <c r="P25" s="10">
        <f t="shared" si="2"/>
        <v>154450</v>
      </c>
      <c r="Q25" s="11" t="str">
        <f t="shared" si="3"/>
        <v>Mega</v>
      </c>
      <c r="R25" s="12">
        <f t="shared" si="4"/>
        <v>124637.6812</v>
      </c>
      <c r="S25" s="13">
        <f t="shared" si="5"/>
        <v>2124.951846</v>
      </c>
      <c r="T25" s="14">
        <f t="shared" si="6"/>
        <v>0.009906214274</v>
      </c>
      <c r="U25" s="12">
        <f t="shared" si="7"/>
        <v>12</v>
      </c>
      <c r="V25" s="12" t="str">
        <f t="shared" si="8"/>
        <v>🐄 VACA LEITEIRA</v>
      </c>
      <c r="W25" s="12"/>
    </row>
    <row r="26">
      <c r="A26" s="5">
        <v>29.0</v>
      </c>
      <c r="B26" s="6" t="s">
        <v>60</v>
      </c>
      <c r="C26" s="7">
        <v>1.69E7</v>
      </c>
      <c r="D26" s="7">
        <v>3.523578665E9</v>
      </c>
      <c r="E26" s="8" t="s">
        <v>61</v>
      </c>
      <c r="F26" s="7">
        <v>4891.0</v>
      </c>
      <c r="G26" s="5" t="s">
        <v>25</v>
      </c>
      <c r="H26" s="8" t="s">
        <v>62</v>
      </c>
      <c r="I26" s="7">
        <v>1.49543E8</v>
      </c>
      <c r="J26" s="7">
        <v>37400.0</v>
      </c>
      <c r="K26" s="7">
        <v>598200.0</v>
      </c>
      <c r="L26" s="7">
        <v>448600.0</v>
      </c>
      <c r="M26" s="7">
        <v>7200000.0</v>
      </c>
      <c r="N26" s="9">
        <v>42470.0</v>
      </c>
      <c r="O26" s="7">
        <f t="shared" si="1"/>
        <v>208.495779</v>
      </c>
      <c r="P26" s="10">
        <f t="shared" si="2"/>
        <v>317800</v>
      </c>
      <c r="Q26" s="11" t="str">
        <f t="shared" si="3"/>
        <v>Mega</v>
      </c>
      <c r="R26" s="12">
        <f t="shared" si="4"/>
        <v>3455.326109</v>
      </c>
      <c r="S26" s="13">
        <f t="shared" si="5"/>
        <v>2125.141264</v>
      </c>
      <c r="T26" s="14">
        <f t="shared" si="6"/>
        <v>0.04244065884</v>
      </c>
      <c r="U26" s="12">
        <f t="shared" si="7"/>
        <v>7</v>
      </c>
      <c r="V26" s="12" t="str">
        <f t="shared" si="8"/>
        <v>❓ INTERROGAÇÃO</v>
      </c>
      <c r="W26" s="12"/>
    </row>
    <row r="27">
      <c r="A27" s="5">
        <v>30.0</v>
      </c>
      <c r="B27" s="6" t="s">
        <v>63</v>
      </c>
      <c r="C27" s="7">
        <v>1.68E7</v>
      </c>
      <c r="D27" s="7">
        <v>3.693798804E9</v>
      </c>
      <c r="E27" s="8" t="s">
        <v>35</v>
      </c>
      <c r="F27" s="7">
        <v>1491.0</v>
      </c>
      <c r="G27" s="5" t="s">
        <v>25</v>
      </c>
      <c r="H27" s="8" t="s">
        <v>27</v>
      </c>
      <c r="I27" s="7">
        <v>4.4121E7</v>
      </c>
      <c r="J27" s="7">
        <v>11000.0</v>
      </c>
      <c r="K27" s="7">
        <v>176500.0</v>
      </c>
      <c r="L27" s="7">
        <v>132400.0</v>
      </c>
      <c r="M27" s="7">
        <v>2100000.0</v>
      </c>
      <c r="N27" s="9">
        <v>41366.0</v>
      </c>
      <c r="O27" s="7">
        <f t="shared" si="1"/>
        <v>219.8689764</v>
      </c>
      <c r="P27" s="10">
        <f t="shared" si="2"/>
        <v>93750</v>
      </c>
      <c r="Q27" s="11" t="str">
        <f t="shared" si="3"/>
        <v>Mega</v>
      </c>
      <c r="R27" s="12">
        <f t="shared" si="4"/>
        <v>11267.60563</v>
      </c>
      <c r="S27" s="13">
        <f t="shared" si="5"/>
        <v>2124.838512</v>
      </c>
      <c r="T27" s="14">
        <f t="shared" si="6"/>
        <v>0.01194461375</v>
      </c>
      <c r="U27" s="12">
        <f t="shared" si="7"/>
        <v>10</v>
      </c>
      <c r="V27" s="12" t="str">
        <f t="shared" si="8"/>
        <v>🐕 EVITAR</v>
      </c>
      <c r="W27" s="12"/>
    </row>
    <row r="28">
      <c r="A28" s="5">
        <v>31.0</v>
      </c>
      <c r="B28" s="6" t="s">
        <v>64</v>
      </c>
      <c r="C28" s="7">
        <v>1.62E7</v>
      </c>
      <c r="D28" s="7">
        <v>2.990185467E9</v>
      </c>
      <c r="E28" s="8" t="s">
        <v>30</v>
      </c>
      <c r="F28" s="7">
        <v>1930.0</v>
      </c>
      <c r="G28" s="5" t="s">
        <v>25</v>
      </c>
      <c r="H28" s="8" t="s">
        <v>65</v>
      </c>
      <c r="I28" s="7">
        <v>3.3015E7</v>
      </c>
      <c r="J28" s="7">
        <v>8300.0</v>
      </c>
      <c r="K28" s="7">
        <v>132100.0</v>
      </c>
      <c r="L28" s="7">
        <v>99000.0</v>
      </c>
      <c r="M28" s="7">
        <v>1600000.0</v>
      </c>
      <c r="N28" s="9">
        <v>40924.0</v>
      </c>
      <c r="O28" s="7">
        <f t="shared" si="1"/>
        <v>184.5793498</v>
      </c>
      <c r="P28" s="10">
        <f t="shared" si="2"/>
        <v>70200</v>
      </c>
      <c r="Q28" s="11" t="str">
        <f t="shared" si="3"/>
        <v>Mega</v>
      </c>
      <c r="R28" s="12">
        <f t="shared" si="4"/>
        <v>8393.782383</v>
      </c>
      <c r="S28" s="13">
        <f t="shared" si="5"/>
        <v>2126.306224</v>
      </c>
      <c r="T28" s="14">
        <f t="shared" si="6"/>
        <v>0.01104112115</v>
      </c>
      <c r="U28" s="12">
        <f t="shared" si="7"/>
        <v>11</v>
      </c>
      <c r="V28" s="12" t="str">
        <f t="shared" si="8"/>
        <v>🐕 EVITAR</v>
      </c>
      <c r="W28" s="12"/>
    </row>
    <row r="29">
      <c r="A29" s="5">
        <v>32.0</v>
      </c>
      <c r="B29" s="6" t="s">
        <v>66</v>
      </c>
      <c r="C29" s="7">
        <v>1.61E7</v>
      </c>
      <c r="D29" s="7">
        <v>2.687443643E9</v>
      </c>
      <c r="E29" s="8" t="s">
        <v>33</v>
      </c>
      <c r="F29" s="7">
        <v>723.0</v>
      </c>
      <c r="G29" s="5" t="s">
        <v>25</v>
      </c>
      <c r="H29" s="8" t="s">
        <v>27</v>
      </c>
      <c r="I29" s="7">
        <v>1.3802E7</v>
      </c>
      <c r="J29" s="7">
        <v>3500.0</v>
      </c>
      <c r="K29" s="7">
        <v>55200.0</v>
      </c>
      <c r="L29" s="7">
        <v>41400.0</v>
      </c>
      <c r="M29" s="7">
        <v>662500.0</v>
      </c>
      <c r="N29" s="9">
        <v>42937.0</v>
      </c>
      <c r="O29" s="7">
        <f t="shared" si="1"/>
        <v>166.9219654</v>
      </c>
      <c r="P29" s="10">
        <f t="shared" si="2"/>
        <v>29350</v>
      </c>
      <c r="Q29" s="11" t="str">
        <f t="shared" si="3"/>
        <v>Mega</v>
      </c>
      <c r="R29" s="12">
        <f t="shared" si="4"/>
        <v>22268.32642</v>
      </c>
      <c r="S29" s="13">
        <f t="shared" si="5"/>
        <v>2126.503405</v>
      </c>
      <c r="T29" s="14">
        <f t="shared" si="6"/>
        <v>0.005135735604</v>
      </c>
      <c r="U29" s="12">
        <f t="shared" si="7"/>
        <v>6</v>
      </c>
      <c r="V29" s="12" t="str">
        <f t="shared" si="8"/>
        <v>🐕 EVITAR</v>
      </c>
      <c r="W29" s="12"/>
    </row>
    <row r="30">
      <c r="A30" s="5">
        <v>33.0</v>
      </c>
      <c r="B30" s="6" t="s">
        <v>67</v>
      </c>
      <c r="C30" s="7">
        <v>1.59E7</v>
      </c>
      <c r="D30" s="7">
        <v>9.198986881E9</v>
      </c>
      <c r="E30" s="8" t="s">
        <v>24</v>
      </c>
      <c r="F30" s="7">
        <v>5105.0</v>
      </c>
      <c r="G30" s="5" t="s">
        <v>25</v>
      </c>
      <c r="H30" s="8" t="s">
        <v>24</v>
      </c>
      <c r="I30" s="7">
        <v>1.36388E8</v>
      </c>
      <c r="J30" s="7">
        <v>34100.0</v>
      </c>
      <c r="K30" s="7">
        <v>545600.0</v>
      </c>
      <c r="L30" s="7">
        <v>409200.0</v>
      </c>
      <c r="M30" s="7">
        <v>6500000.0</v>
      </c>
      <c r="N30" s="9">
        <v>40196.0</v>
      </c>
      <c r="O30" s="7">
        <f t="shared" si="1"/>
        <v>578.552634</v>
      </c>
      <c r="P30" s="10">
        <f t="shared" si="2"/>
        <v>289850</v>
      </c>
      <c r="Q30" s="11" t="str">
        <f t="shared" si="3"/>
        <v>Mega</v>
      </c>
      <c r="R30" s="12">
        <f t="shared" si="4"/>
        <v>3114.593536</v>
      </c>
      <c r="S30" s="13">
        <f t="shared" si="5"/>
        <v>2125.186967</v>
      </c>
      <c r="T30" s="14">
        <f t="shared" si="6"/>
        <v>0.01482641532</v>
      </c>
      <c r="U30" s="12">
        <f t="shared" si="7"/>
        <v>13</v>
      </c>
      <c r="V30" s="12" t="str">
        <f t="shared" si="8"/>
        <v>⭐ ESTRELA</v>
      </c>
      <c r="W30" s="12"/>
    </row>
    <row r="31">
      <c r="A31" s="5">
        <v>34.0</v>
      </c>
      <c r="B31" s="6" t="s">
        <v>68</v>
      </c>
      <c r="C31" s="7">
        <v>1.56E7</v>
      </c>
      <c r="D31" s="7">
        <v>3.869457097E9</v>
      </c>
      <c r="E31" s="8" t="s">
        <v>27</v>
      </c>
      <c r="F31" s="7">
        <v>2019.0</v>
      </c>
      <c r="G31" s="5" t="s">
        <v>25</v>
      </c>
      <c r="H31" s="8" t="s">
        <v>27</v>
      </c>
      <c r="I31" s="7">
        <v>5.6218E7</v>
      </c>
      <c r="J31" s="7">
        <v>14100.0</v>
      </c>
      <c r="K31" s="7">
        <v>224900.0</v>
      </c>
      <c r="L31" s="7">
        <v>168700.0</v>
      </c>
      <c r="M31" s="7">
        <v>2700000.0</v>
      </c>
      <c r="N31" s="9">
        <v>40307.0</v>
      </c>
      <c r="O31" s="7">
        <f t="shared" si="1"/>
        <v>248.0421216</v>
      </c>
      <c r="P31" s="10">
        <f t="shared" si="2"/>
        <v>119500</v>
      </c>
      <c r="Q31" s="11" t="str">
        <f t="shared" si="3"/>
        <v>Mega</v>
      </c>
      <c r="R31" s="12">
        <f t="shared" si="4"/>
        <v>7726.597325</v>
      </c>
      <c r="S31" s="13">
        <f t="shared" si="5"/>
        <v>2125.653705</v>
      </c>
      <c r="T31" s="14">
        <f t="shared" si="6"/>
        <v>0.01452865314</v>
      </c>
      <c r="U31" s="12">
        <f t="shared" si="7"/>
        <v>13</v>
      </c>
      <c r="V31" s="12" t="str">
        <f t="shared" si="8"/>
        <v>❓ INTERROGAÇÃO</v>
      </c>
      <c r="W31" s="12"/>
    </row>
    <row r="32">
      <c r="A32" s="5">
        <v>35.0</v>
      </c>
      <c r="B32" s="6" t="s">
        <v>69</v>
      </c>
      <c r="C32" s="7">
        <v>1.55E7</v>
      </c>
      <c r="D32" s="7">
        <v>1.4619523361E10</v>
      </c>
      <c r="E32" s="8" t="s">
        <v>24</v>
      </c>
      <c r="F32" s="7">
        <v>325.0</v>
      </c>
      <c r="G32" s="5" t="s">
        <v>25</v>
      </c>
      <c r="H32" s="8" t="s">
        <v>24</v>
      </c>
      <c r="I32" s="7">
        <v>1.63678E8</v>
      </c>
      <c r="J32" s="7">
        <v>40900.0</v>
      </c>
      <c r="K32" s="7">
        <v>654700.0</v>
      </c>
      <c r="L32" s="7">
        <v>491000.0</v>
      </c>
      <c r="M32" s="7">
        <v>7900000.0</v>
      </c>
      <c r="N32" s="9">
        <v>39991.0</v>
      </c>
      <c r="O32" s="7">
        <f t="shared" si="1"/>
        <v>943.1950555</v>
      </c>
      <c r="P32" s="10">
        <f t="shared" si="2"/>
        <v>347800</v>
      </c>
      <c r="Q32" s="11" t="str">
        <f t="shared" si="3"/>
        <v>Mega</v>
      </c>
      <c r="R32" s="12">
        <f t="shared" si="4"/>
        <v>47692.30769</v>
      </c>
      <c r="S32" s="13">
        <f t="shared" si="5"/>
        <v>2124.903774</v>
      </c>
      <c r="T32" s="14">
        <f t="shared" si="6"/>
        <v>0.01119585064</v>
      </c>
      <c r="U32" s="12">
        <f t="shared" si="7"/>
        <v>14</v>
      </c>
      <c r="V32" s="12" t="str">
        <f t="shared" si="8"/>
        <v>🐄 VACA LEITEIRA</v>
      </c>
      <c r="W32" s="12"/>
    </row>
    <row r="33">
      <c r="A33" s="5">
        <v>36.0</v>
      </c>
      <c r="B33" s="6" t="s">
        <v>70</v>
      </c>
      <c r="C33" s="7">
        <v>1.5E7</v>
      </c>
      <c r="D33" s="7">
        <v>8.897705695E9</v>
      </c>
      <c r="E33" s="8" t="s">
        <v>27</v>
      </c>
      <c r="F33" s="7">
        <v>795.0</v>
      </c>
      <c r="G33" s="5" t="s">
        <v>25</v>
      </c>
      <c r="H33" s="8" t="s">
        <v>71</v>
      </c>
      <c r="I33" s="7">
        <v>1.45478E8</v>
      </c>
      <c r="J33" s="7">
        <v>36400.0</v>
      </c>
      <c r="K33" s="7">
        <v>581900.0</v>
      </c>
      <c r="L33" s="7">
        <v>436400.0</v>
      </c>
      <c r="M33" s="7">
        <v>7000000.0</v>
      </c>
      <c r="N33" s="9">
        <v>43126.0</v>
      </c>
      <c r="O33" s="7">
        <f t="shared" si="1"/>
        <v>593.1803797</v>
      </c>
      <c r="P33" s="10">
        <f t="shared" si="2"/>
        <v>309150</v>
      </c>
      <c r="Q33" s="11" t="str">
        <f t="shared" si="3"/>
        <v>Mega</v>
      </c>
      <c r="R33" s="12">
        <f t="shared" si="4"/>
        <v>18867.92453</v>
      </c>
      <c r="S33" s="13">
        <f t="shared" si="5"/>
        <v>2125.063583</v>
      </c>
      <c r="T33" s="14">
        <f t="shared" si="6"/>
        <v>0.01635005753</v>
      </c>
      <c r="U33" s="12">
        <f t="shared" si="7"/>
        <v>5</v>
      </c>
      <c r="V33" s="12" t="str">
        <f t="shared" si="8"/>
        <v>⭐ ESTRELA</v>
      </c>
      <c r="W33" s="12"/>
    </row>
    <row r="34">
      <c r="A34" s="5">
        <v>37.0</v>
      </c>
      <c r="B34" s="6" t="s">
        <v>72</v>
      </c>
      <c r="C34" s="7">
        <v>1.49E7</v>
      </c>
      <c r="D34" s="7">
        <v>5.956193599E9</v>
      </c>
      <c r="E34" s="8" t="s">
        <v>38</v>
      </c>
      <c r="F34" s="7">
        <v>4175.0</v>
      </c>
      <c r="G34" s="5" t="s">
        <v>25</v>
      </c>
      <c r="H34" s="8" t="s">
        <v>40</v>
      </c>
      <c r="I34" s="7">
        <v>3.9775E7</v>
      </c>
      <c r="J34" s="7">
        <v>9900.0</v>
      </c>
      <c r="K34" s="7">
        <v>159100.0</v>
      </c>
      <c r="L34" s="7">
        <v>119300.0</v>
      </c>
      <c r="M34" s="7">
        <v>1900000.0</v>
      </c>
      <c r="N34" s="9">
        <v>40737.0</v>
      </c>
      <c r="O34" s="7">
        <f t="shared" si="1"/>
        <v>399.7445368</v>
      </c>
      <c r="P34" s="10">
        <f t="shared" si="2"/>
        <v>84500</v>
      </c>
      <c r="Q34" s="11" t="str">
        <f t="shared" si="3"/>
        <v>Mega</v>
      </c>
      <c r="R34" s="12">
        <f t="shared" si="4"/>
        <v>3568.862275</v>
      </c>
      <c r="S34" s="13">
        <f t="shared" si="5"/>
        <v>2124.450031</v>
      </c>
      <c r="T34" s="14">
        <f t="shared" si="6"/>
        <v>0.006677922626</v>
      </c>
      <c r="U34" s="12">
        <f t="shared" si="7"/>
        <v>12</v>
      </c>
      <c r="V34" s="12" t="str">
        <f t="shared" si="8"/>
        <v>🐄 VACA LEITEIRA</v>
      </c>
      <c r="W34" s="12"/>
    </row>
    <row r="35">
      <c r="A35" s="5">
        <v>38.0</v>
      </c>
      <c r="B35" s="6" t="s">
        <v>73</v>
      </c>
      <c r="C35" s="7">
        <v>1.48E7</v>
      </c>
      <c r="D35" s="7">
        <v>9.076642765E9</v>
      </c>
      <c r="E35" s="8" t="s">
        <v>24</v>
      </c>
      <c r="F35" s="7">
        <v>318.0</v>
      </c>
      <c r="G35" s="5" t="s">
        <v>25</v>
      </c>
      <c r="H35" s="8" t="s">
        <v>24</v>
      </c>
      <c r="I35" s="7">
        <v>8.812E7</v>
      </c>
      <c r="J35" s="7">
        <v>22000.0</v>
      </c>
      <c r="K35" s="7">
        <v>352500.0</v>
      </c>
      <c r="L35" s="7">
        <v>264400.0</v>
      </c>
      <c r="M35" s="7">
        <v>4200000.0</v>
      </c>
      <c r="N35" s="9">
        <v>39658.0</v>
      </c>
      <c r="O35" s="7">
        <f t="shared" si="1"/>
        <v>613.2866733</v>
      </c>
      <c r="P35" s="10">
        <f t="shared" si="2"/>
        <v>187250</v>
      </c>
      <c r="Q35" s="11" t="str">
        <f t="shared" si="3"/>
        <v>Mega</v>
      </c>
      <c r="R35" s="12">
        <f t="shared" si="4"/>
        <v>46540.8805</v>
      </c>
      <c r="S35" s="13">
        <f t="shared" si="5"/>
        <v>2124.943259</v>
      </c>
      <c r="T35" s="14">
        <f t="shared" si="6"/>
        <v>0.009708435407</v>
      </c>
      <c r="U35" s="12">
        <f t="shared" si="7"/>
        <v>15</v>
      </c>
      <c r="V35" s="12" t="str">
        <f t="shared" si="8"/>
        <v>🐄 VACA LEITEIRA</v>
      </c>
      <c r="W35" s="12"/>
    </row>
    <row r="36">
      <c r="A36" s="5">
        <v>39.0</v>
      </c>
      <c r="B36" s="6" t="s">
        <v>74</v>
      </c>
      <c r="C36" s="7">
        <v>1.47E7</v>
      </c>
      <c r="D36" s="7">
        <v>4.684983333E9</v>
      </c>
      <c r="E36" s="8" t="s">
        <v>24</v>
      </c>
      <c r="F36" s="7">
        <v>3978.0</v>
      </c>
      <c r="G36" s="5" t="s">
        <v>25</v>
      </c>
      <c r="H36" s="8" t="s">
        <v>27</v>
      </c>
      <c r="I36" s="7">
        <v>4.0975E7</v>
      </c>
      <c r="J36" s="7">
        <v>10200.0</v>
      </c>
      <c r="K36" s="7">
        <v>163900.0</v>
      </c>
      <c r="L36" s="7">
        <v>122900.0</v>
      </c>
      <c r="M36" s="7">
        <v>2000000.0</v>
      </c>
      <c r="N36" s="9">
        <v>41786.0</v>
      </c>
      <c r="O36" s="7">
        <f t="shared" si="1"/>
        <v>318.7063492</v>
      </c>
      <c r="P36" s="10">
        <f t="shared" si="2"/>
        <v>87050</v>
      </c>
      <c r="Q36" s="11" t="str">
        <f t="shared" si="3"/>
        <v>Mega</v>
      </c>
      <c r="R36" s="12">
        <f t="shared" si="4"/>
        <v>3695.324284</v>
      </c>
      <c r="S36" s="13">
        <f t="shared" si="5"/>
        <v>2124.466138</v>
      </c>
      <c r="T36" s="14">
        <f t="shared" si="6"/>
        <v>0.00874602898</v>
      </c>
      <c r="U36" s="12">
        <f t="shared" si="7"/>
        <v>9</v>
      </c>
      <c r="V36" s="12" t="str">
        <f t="shared" si="8"/>
        <v>🐕 EVITAR</v>
      </c>
      <c r="W36" s="12"/>
    </row>
    <row r="37">
      <c r="A37" s="5">
        <v>40.0</v>
      </c>
      <c r="B37" s="6" t="s">
        <v>75</v>
      </c>
      <c r="C37" s="7">
        <v>1.46E7</v>
      </c>
      <c r="D37" s="7">
        <v>1.1182302317E10</v>
      </c>
      <c r="E37" s="8" t="s">
        <v>24</v>
      </c>
      <c r="F37" s="7">
        <v>1206.0</v>
      </c>
      <c r="G37" s="5" t="s">
        <v>25</v>
      </c>
      <c r="H37" s="8" t="s">
        <v>24</v>
      </c>
      <c r="I37" s="7">
        <v>1.09865E8</v>
      </c>
      <c r="J37" s="7">
        <v>27500.0</v>
      </c>
      <c r="K37" s="7">
        <v>439500.0</v>
      </c>
      <c r="L37" s="7">
        <v>329600.0</v>
      </c>
      <c r="M37" s="7">
        <v>5300000.0</v>
      </c>
      <c r="N37" s="9">
        <v>41870.0</v>
      </c>
      <c r="O37" s="7">
        <f t="shared" si="1"/>
        <v>765.9111176</v>
      </c>
      <c r="P37" s="10">
        <f t="shared" si="2"/>
        <v>233500</v>
      </c>
      <c r="Q37" s="11" t="str">
        <f t="shared" si="3"/>
        <v>Mega</v>
      </c>
      <c r="R37" s="12">
        <f t="shared" si="4"/>
        <v>12106.13599</v>
      </c>
      <c r="S37" s="13">
        <f t="shared" si="5"/>
        <v>2125.335639</v>
      </c>
      <c r="T37" s="14">
        <f t="shared" si="6"/>
        <v>0.009824899818</v>
      </c>
      <c r="U37" s="12">
        <f t="shared" si="7"/>
        <v>9</v>
      </c>
      <c r="V37" s="12" t="str">
        <f t="shared" si="8"/>
        <v>🐄 VACA LEITEIRA</v>
      </c>
      <c r="W37" s="12"/>
    </row>
    <row r="38">
      <c r="A38" s="5">
        <v>40.0</v>
      </c>
      <c r="B38" s="6" t="s">
        <v>76</v>
      </c>
      <c r="C38" s="7">
        <v>1.46E7</v>
      </c>
      <c r="D38" s="7">
        <v>4.622581344E9</v>
      </c>
      <c r="E38" s="8" t="s">
        <v>33</v>
      </c>
      <c r="F38" s="7">
        <v>951.0</v>
      </c>
      <c r="G38" s="5" t="s">
        <v>25</v>
      </c>
      <c r="H38" s="8" t="s">
        <v>27</v>
      </c>
      <c r="I38" s="7">
        <v>1.0547E7</v>
      </c>
      <c r="J38" s="7">
        <v>2600.0</v>
      </c>
      <c r="K38" s="7">
        <v>42200.0</v>
      </c>
      <c r="L38" s="7">
        <v>31600.0</v>
      </c>
      <c r="M38" s="7">
        <v>506300.0</v>
      </c>
      <c r="N38" s="9">
        <v>42329.0</v>
      </c>
      <c r="O38" s="7">
        <f t="shared" si="1"/>
        <v>316.6151605</v>
      </c>
      <c r="P38" s="10">
        <f t="shared" si="2"/>
        <v>22400</v>
      </c>
      <c r="Q38" s="11" t="str">
        <f t="shared" si="3"/>
        <v>Mega</v>
      </c>
      <c r="R38" s="12">
        <f t="shared" si="4"/>
        <v>15352.26078</v>
      </c>
      <c r="S38" s="13">
        <f t="shared" si="5"/>
        <v>2123.826681</v>
      </c>
      <c r="T38" s="14">
        <f t="shared" si="6"/>
        <v>0.002281625615</v>
      </c>
      <c r="U38" s="12">
        <f t="shared" si="7"/>
        <v>8</v>
      </c>
      <c r="V38" s="12" t="str">
        <f t="shared" si="8"/>
        <v>🐕 EVITAR</v>
      </c>
      <c r="W38" s="12"/>
    </row>
    <row r="39">
      <c r="A39" s="5">
        <v>41.0</v>
      </c>
      <c r="B39" s="6" t="s">
        <v>77</v>
      </c>
      <c r="C39" s="7">
        <v>1.45E7</v>
      </c>
      <c r="D39" s="7">
        <v>3.551889957E9</v>
      </c>
      <c r="E39" s="8" t="s">
        <v>56</v>
      </c>
      <c r="F39" s="7">
        <v>5430.0</v>
      </c>
      <c r="G39" s="5" t="s">
        <v>25</v>
      </c>
      <c r="H39" s="8" t="s">
        <v>54</v>
      </c>
      <c r="I39" s="7">
        <v>2838000.0</v>
      </c>
      <c r="J39" s="7">
        <v>709.0</v>
      </c>
      <c r="K39" s="7">
        <v>11400.0</v>
      </c>
      <c r="L39" s="7">
        <v>8500.0</v>
      </c>
      <c r="M39" s="7">
        <v>136200.0</v>
      </c>
      <c r="N39" s="9">
        <v>43038.0</v>
      </c>
      <c r="O39" s="7">
        <f t="shared" si="1"/>
        <v>244.9579281</v>
      </c>
      <c r="P39" s="10">
        <f t="shared" si="2"/>
        <v>6054.5</v>
      </c>
      <c r="Q39" s="11" t="str">
        <f t="shared" si="3"/>
        <v>Mega</v>
      </c>
      <c r="R39" s="12">
        <f t="shared" si="4"/>
        <v>2670.349908</v>
      </c>
      <c r="S39" s="13">
        <f t="shared" si="5"/>
        <v>2133.368569</v>
      </c>
      <c r="T39" s="14">
        <f t="shared" si="6"/>
        <v>0.0007990112403</v>
      </c>
      <c r="U39" s="12">
        <f t="shared" si="7"/>
        <v>6</v>
      </c>
      <c r="V39" s="12" t="str">
        <f t="shared" si="8"/>
        <v>🐕 EVITAR</v>
      </c>
      <c r="W39" s="12"/>
    </row>
    <row r="40">
      <c r="A40" s="5">
        <v>43.0</v>
      </c>
      <c r="B40" s="6" t="s">
        <v>78</v>
      </c>
      <c r="C40" s="7">
        <v>1.42E7</v>
      </c>
      <c r="D40" s="7">
        <v>4.040297006E9</v>
      </c>
      <c r="E40" s="8" t="s">
        <v>35</v>
      </c>
      <c r="F40" s="7">
        <v>1281.0</v>
      </c>
      <c r="G40" s="5" t="s">
        <v>25</v>
      </c>
      <c r="H40" s="8" t="s">
        <v>27</v>
      </c>
      <c r="I40" s="7">
        <v>1.9029E7</v>
      </c>
      <c r="J40" s="7">
        <v>4800.0</v>
      </c>
      <c r="K40" s="7">
        <v>76100.0</v>
      </c>
      <c r="L40" s="7">
        <v>57100.0</v>
      </c>
      <c r="M40" s="7">
        <v>913400.0</v>
      </c>
      <c r="N40" s="9">
        <v>41930.0</v>
      </c>
      <c r="O40" s="7">
        <f t="shared" si="1"/>
        <v>284.5279582</v>
      </c>
      <c r="P40" s="10">
        <f t="shared" si="2"/>
        <v>40450</v>
      </c>
      <c r="Q40" s="11" t="str">
        <f t="shared" si="3"/>
        <v>Mega</v>
      </c>
      <c r="R40" s="12">
        <f t="shared" si="4"/>
        <v>11085.08977</v>
      </c>
      <c r="S40" s="13">
        <f t="shared" si="5"/>
        <v>2125.702875</v>
      </c>
      <c r="T40" s="14">
        <f t="shared" si="6"/>
        <v>0.004709802267</v>
      </c>
      <c r="U40" s="12">
        <f t="shared" si="7"/>
        <v>9</v>
      </c>
      <c r="V40" s="12" t="str">
        <f t="shared" si="8"/>
        <v>🐕 EVITAR</v>
      </c>
      <c r="W40" s="12"/>
    </row>
    <row r="41">
      <c r="A41" s="5">
        <v>44.0</v>
      </c>
      <c r="B41" s="6" t="s">
        <v>79</v>
      </c>
      <c r="C41" s="7">
        <v>1.4E7</v>
      </c>
      <c r="D41" s="7">
        <v>5.094050461E9</v>
      </c>
      <c r="E41" s="8" t="s">
        <v>27</v>
      </c>
      <c r="F41" s="7">
        <v>1307.0</v>
      </c>
      <c r="G41" s="5" t="s">
        <v>25</v>
      </c>
      <c r="H41" s="8" t="s">
        <v>65</v>
      </c>
      <c r="I41" s="7">
        <v>6.8058E7</v>
      </c>
      <c r="J41" s="7">
        <v>17000.0</v>
      </c>
      <c r="K41" s="7">
        <v>272200.0</v>
      </c>
      <c r="L41" s="7">
        <v>204200.0</v>
      </c>
      <c r="M41" s="7">
        <v>3300000.0</v>
      </c>
      <c r="N41" s="9">
        <v>42246.0</v>
      </c>
      <c r="O41" s="7">
        <f t="shared" si="1"/>
        <v>363.8607472</v>
      </c>
      <c r="P41" s="10">
        <f t="shared" si="2"/>
        <v>144600</v>
      </c>
      <c r="Q41" s="11" t="str">
        <f t="shared" si="3"/>
        <v>Mega</v>
      </c>
      <c r="R41" s="12">
        <f t="shared" si="4"/>
        <v>10711.55318</v>
      </c>
      <c r="S41" s="13">
        <f t="shared" si="5"/>
        <v>2124.65838</v>
      </c>
      <c r="T41" s="14">
        <f t="shared" si="6"/>
        <v>0.01336029168</v>
      </c>
      <c r="U41" s="12">
        <f t="shared" si="7"/>
        <v>8</v>
      </c>
      <c r="V41" s="12" t="str">
        <f t="shared" si="8"/>
        <v>❓ INTERROGAÇÃO</v>
      </c>
      <c r="W41" s="12"/>
    </row>
    <row r="42">
      <c r="A42" s="5">
        <v>45.0</v>
      </c>
      <c r="B42" s="6" t="s">
        <v>80</v>
      </c>
      <c r="C42" s="7">
        <v>1.4E7</v>
      </c>
      <c r="D42" s="7">
        <v>4.95998272E9</v>
      </c>
      <c r="E42" s="8" t="s">
        <v>38</v>
      </c>
      <c r="F42" s="7">
        <v>5757.0</v>
      </c>
      <c r="G42" s="5" t="s">
        <v>25</v>
      </c>
      <c r="H42" s="8" t="s">
        <v>65</v>
      </c>
      <c r="I42" s="7">
        <v>1.021E7</v>
      </c>
      <c r="J42" s="7">
        <v>2600.0</v>
      </c>
      <c r="K42" s="7">
        <v>40800.0</v>
      </c>
      <c r="L42" s="7">
        <v>30600.0</v>
      </c>
      <c r="M42" s="7">
        <v>490100.0</v>
      </c>
      <c r="N42" s="9">
        <v>41258.0</v>
      </c>
      <c r="O42" s="7">
        <f t="shared" si="1"/>
        <v>354.28448</v>
      </c>
      <c r="P42" s="10">
        <f t="shared" si="2"/>
        <v>21700</v>
      </c>
      <c r="Q42" s="11" t="str">
        <f t="shared" si="3"/>
        <v>Mega</v>
      </c>
      <c r="R42" s="12">
        <f t="shared" si="4"/>
        <v>2431.82213</v>
      </c>
      <c r="S42" s="13">
        <f t="shared" si="5"/>
        <v>2125.367287</v>
      </c>
      <c r="T42" s="14">
        <f t="shared" si="6"/>
        <v>0.002058474913</v>
      </c>
      <c r="U42" s="12">
        <f t="shared" si="7"/>
        <v>11</v>
      </c>
      <c r="V42" s="12" t="str">
        <f t="shared" si="8"/>
        <v>🐕 EVITAR</v>
      </c>
      <c r="W42" s="12"/>
    </row>
    <row r="43">
      <c r="A43" s="5">
        <v>46.0</v>
      </c>
      <c r="B43" s="6" t="s">
        <v>81</v>
      </c>
      <c r="C43" s="7">
        <v>1.39E7</v>
      </c>
      <c r="D43" s="7">
        <v>5.673347763E9</v>
      </c>
      <c r="E43" s="8" t="s">
        <v>38</v>
      </c>
      <c r="F43" s="7">
        <v>5494.0</v>
      </c>
      <c r="G43" s="5" t="s">
        <v>25</v>
      </c>
      <c r="H43" s="8" t="s">
        <v>40</v>
      </c>
      <c r="I43" s="7">
        <v>1.06718E8</v>
      </c>
      <c r="J43" s="7">
        <v>26700.0</v>
      </c>
      <c r="K43" s="7">
        <v>426900.0</v>
      </c>
      <c r="L43" s="7">
        <v>320200.0</v>
      </c>
      <c r="M43" s="7">
        <v>5100000.0</v>
      </c>
      <c r="N43" s="9">
        <v>41151.0</v>
      </c>
      <c r="O43" s="7">
        <f t="shared" si="1"/>
        <v>408.1545153</v>
      </c>
      <c r="P43" s="10">
        <f t="shared" si="2"/>
        <v>226800</v>
      </c>
      <c r="Q43" s="11" t="str">
        <f t="shared" si="3"/>
        <v>Mega</v>
      </c>
      <c r="R43" s="12">
        <f t="shared" si="4"/>
        <v>2530.032763</v>
      </c>
      <c r="S43" s="13">
        <f t="shared" si="5"/>
        <v>2125.227234</v>
      </c>
      <c r="T43" s="14">
        <f t="shared" si="6"/>
        <v>0.01881041044</v>
      </c>
      <c r="U43" s="12">
        <f t="shared" si="7"/>
        <v>11</v>
      </c>
      <c r="V43" s="12" t="str">
        <f t="shared" si="8"/>
        <v>⭐ ESTRELA</v>
      </c>
      <c r="W43" s="12"/>
    </row>
    <row r="44">
      <c r="A44" s="5">
        <v>47.0</v>
      </c>
      <c r="B44" s="6" t="s">
        <v>82</v>
      </c>
      <c r="C44" s="7">
        <v>1.37E7</v>
      </c>
      <c r="D44" s="7">
        <v>8.134379376E9</v>
      </c>
      <c r="E44" s="8" t="s">
        <v>24</v>
      </c>
      <c r="F44" s="7">
        <v>438.0</v>
      </c>
      <c r="G44" s="5" t="s">
        <v>25</v>
      </c>
      <c r="H44" s="8" t="s">
        <v>24</v>
      </c>
      <c r="I44" s="7">
        <v>6.4059E7</v>
      </c>
      <c r="J44" s="7">
        <v>16000.0</v>
      </c>
      <c r="K44" s="7">
        <v>256200.0</v>
      </c>
      <c r="L44" s="7">
        <v>192200.0</v>
      </c>
      <c r="M44" s="7">
        <v>3100000.0</v>
      </c>
      <c r="N44" s="9">
        <v>39985.0</v>
      </c>
      <c r="O44" s="7">
        <f t="shared" si="1"/>
        <v>593.7503194</v>
      </c>
      <c r="P44" s="10">
        <f t="shared" si="2"/>
        <v>136100</v>
      </c>
      <c r="Q44" s="11" t="str">
        <f t="shared" si="3"/>
        <v>Mega</v>
      </c>
      <c r="R44" s="12">
        <f t="shared" si="4"/>
        <v>31278.53881</v>
      </c>
      <c r="S44" s="13">
        <f t="shared" si="5"/>
        <v>2124.603881</v>
      </c>
      <c r="T44" s="14">
        <f t="shared" si="6"/>
        <v>0.007875093727</v>
      </c>
      <c r="U44" s="12">
        <f t="shared" si="7"/>
        <v>14</v>
      </c>
      <c r="V44" s="12" t="str">
        <f t="shared" si="8"/>
        <v>🐄 VACA LEITEIRA</v>
      </c>
      <c r="W44" s="12"/>
    </row>
    <row r="45">
      <c r="A45" s="5">
        <v>47.0</v>
      </c>
      <c r="B45" s="6" t="s">
        <v>83</v>
      </c>
      <c r="C45" s="7">
        <v>1.37E7</v>
      </c>
      <c r="D45" s="7">
        <v>1.950178163E9</v>
      </c>
      <c r="E45" s="8" t="s">
        <v>27</v>
      </c>
      <c r="F45" s="7">
        <v>3298.0</v>
      </c>
      <c r="G45" s="5" t="s">
        <v>25</v>
      </c>
      <c r="H45" s="8" t="s">
        <v>27</v>
      </c>
      <c r="I45" s="7">
        <v>7438000.0</v>
      </c>
      <c r="J45" s="7">
        <v>1900.0</v>
      </c>
      <c r="K45" s="7">
        <v>29800.0</v>
      </c>
      <c r="L45" s="7">
        <v>22300.0</v>
      </c>
      <c r="M45" s="7">
        <v>357000.0</v>
      </c>
      <c r="N45" s="9">
        <v>39784.0</v>
      </c>
      <c r="O45" s="7">
        <f t="shared" si="1"/>
        <v>142.348771</v>
      </c>
      <c r="P45" s="10">
        <f t="shared" si="2"/>
        <v>15850</v>
      </c>
      <c r="Q45" s="11" t="str">
        <f t="shared" si="3"/>
        <v>Mega</v>
      </c>
      <c r="R45" s="12">
        <f t="shared" si="4"/>
        <v>4154.032747</v>
      </c>
      <c r="S45" s="13">
        <f t="shared" si="5"/>
        <v>2130.94918</v>
      </c>
      <c r="T45" s="14">
        <f t="shared" si="6"/>
        <v>0.003814010505</v>
      </c>
      <c r="U45" s="12">
        <f t="shared" si="7"/>
        <v>15</v>
      </c>
      <c r="V45" s="12" t="str">
        <f t="shared" si="8"/>
        <v>🐕 EVITAR</v>
      </c>
      <c r="W45" s="12"/>
    </row>
    <row r="46">
      <c r="A46" s="5">
        <v>49.0</v>
      </c>
      <c r="B46" s="6" t="s">
        <v>84</v>
      </c>
      <c r="C46" s="7">
        <v>1.32E7</v>
      </c>
      <c r="D46" s="7">
        <v>5.224764969E9</v>
      </c>
      <c r="E46" s="8" t="s">
        <v>27</v>
      </c>
      <c r="F46" s="7">
        <v>413.0</v>
      </c>
      <c r="G46" s="5" t="s">
        <v>25</v>
      </c>
      <c r="H46" s="8" t="s">
        <v>27</v>
      </c>
      <c r="I46" s="7">
        <v>6.4517E7</v>
      </c>
      <c r="J46" s="7">
        <v>16100.0</v>
      </c>
      <c r="K46" s="7">
        <v>258100.0</v>
      </c>
      <c r="L46" s="7">
        <v>193600.0</v>
      </c>
      <c r="M46" s="7">
        <v>3100000.0</v>
      </c>
      <c r="N46" s="9">
        <v>43411.0</v>
      </c>
      <c r="O46" s="7">
        <f t="shared" si="1"/>
        <v>395.815528</v>
      </c>
      <c r="P46" s="10">
        <f t="shared" si="2"/>
        <v>137100</v>
      </c>
      <c r="Q46" s="11" t="str">
        <f t="shared" si="3"/>
        <v>Mega</v>
      </c>
      <c r="R46" s="12">
        <f t="shared" si="4"/>
        <v>31961.25908</v>
      </c>
      <c r="S46" s="13">
        <f t="shared" si="5"/>
        <v>2125.021312</v>
      </c>
      <c r="T46" s="14">
        <f t="shared" si="6"/>
        <v>0.01234830665</v>
      </c>
      <c r="U46" s="12">
        <f t="shared" si="7"/>
        <v>5</v>
      </c>
      <c r="V46" s="12" t="str">
        <f t="shared" si="8"/>
        <v>🐄 VACA LEITEIRA</v>
      </c>
      <c r="W46" s="12"/>
    </row>
    <row r="47">
      <c r="A47" s="5">
        <v>50.0</v>
      </c>
      <c r="B47" s="6" t="s">
        <v>85</v>
      </c>
      <c r="C47" s="7">
        <v>1.31E7</v>
      </c>
      <c r="D47" s="7">
        <v>2.555801802E9</v>
      </c>
      <c r="E47" s="8" t="s">
        <v>33</v>
      </c>
      <c r="F47" s="7">
        <v>1077.0</v>
      </c>
      <c r="G47" s="5" t="s">
        <v>25</v>
      </c>
      <c r="H47" s="8" t="s">
        <v>65</v>
      </c>
      <c r="I47" s="7">
        <v>4.399E7</v>
      </c>
      <c r="J47" s="7">
        <v>11000.0</v>
      </c>
      <c r="K47" s="7">
        <v>176000.0</v>
      </c>
      <c r="L47" s="7">
        <v>132000.0</v>
      </c>
      <c r="M47" s="7">
        <v>2100000.0</v>
      </c>
      <c r="N47" s="9">
        <v>42314.0</v>
      </c>
      <c r="O47" s="7">
        <f t="shared" si="1"/>
        <v>195.0993742</v>
      </c>
      <c r="P47" s="10">
        <f t="shared" si="2"/>
        <v>93500</v>
      </c>
      <c r="Q47" s="11" t="str">
        <f t="shared" si="3"/>
        <v>Mega</v>
      </c>
      <c r="R47" s="12">
        <f t="shared" si="4"/>
        <v>12163.4169</v>
      </c>
      <c r="S47" s="13">
        <f t="shared" si="5"/>
        <v>2125.483064</v>
      </c>
      <c r="T47" s="14">
        <f t="shared" si="6"/>
        <v>0.01721181978</v>
      </c>
      <c r="U47" s="12">
        <f t="shared" si="7"/>
        <v>8</v>
      </c>
      <c r="V47" s="12" t="str">
        <f t="shared" si="8"/>
        <v>❓ INTERROGAÇÃO</v>
      </c>
      <c r="W47" s="12"/>
    </row>
    <row r="48">
      <c r="A48" s="5">
        <v>50.0</v>
      </c>
      <c r="B48" s="6" t="s">
        <v>86</v>
      </c>
      <c r="C48" s="7">
        <v>1.31E7</v>
      </c>
      <c r="D48" s="7">
        <v>4.608751851E9</v>
      </c>
      <c r="E48" s="8" t="s">
        <v>24</v>
      </c>
      <c r="F48" s="7">
        <v>73.0</v>
      </c>
      <c r="G48" s="5" t="s">
        <v>25</v>
      </c>
      <c r="H48" s="8" t="s">
        <v>24</v>
      </c>
      <c r="I48" s="7">
        <v>4.8223E7</v>
      </c>
      <c r="J48" s="7">
        <v>12100.0</v>
      </c>
      <c r="K48" s="7">
        <v>192900.0</v>
      </c>
      <c r="L48" s="7">
        <v>144700.0</v>
      </c>
      <c r="M48" s="7">
        <v>2300000.0</v>
      </c>
      <c r="N48" s="9">
        <v>41377.0</v>
      </c>
      <c r="O48" s="7">
        <f t="shared" si="1"/>
        <v>351.8131184</v>
      </c>
      <c r="P48" s="10">
        <f t="shared" si="2"/>
        <v>102500</v>
      </c>
      <c r="Q48" s="11" t="str">
        <f t="shared" si="3"/>
        <v>Mega</v>
      </c>
      <c r="R48" s="12">
        <f t="shared" si="4"/>
        <v>179452.0548</v>
      </c>
      <c r="S48" s="13">
        <f t="shared" si="5"/>
        <v>2125.541754</v>
      </c>
      <c r="T48" s="14">
        <f t="shared" si="6"/>
        <v>0.01046335354</v>
      </c>
      <c r="U48" s="12">
        <f t="shared" si="7"/>
        <v>10</v>
      </c>
      <c r="V48" s="12" t="str">
        <f t="shared" si="8"/>
        <v>🐕 EVITAR</v>
      </c>
      <c r="W48" s="12"/>
    </row>
    <row r="49">
      <c r="A49" s="5">
        <v>49.0</v>
      </c>
      <c r="B49" s="6" t="s">
        <v>87</v>
      </c>
      <c r="C49" s="7">
        <v>1.31E7</v>
      </c>
      <c r="D49" s="7">
        <v>4.214172991E9</v>
      </c>
      <c r="E49" s="8" t="s">
        <v>35</v>
      </c>
      <c r="F49" s="7">
        <v>1365.0</v>
      </c>
      <c r="G49" s="5" t="s">
        <v>25</v>
      </c>
      <c r="H49" s="8" t="s">
        <v>36</v>
      </c>
      <c r="I49" s="7">
        <v>2.734E7</v>
      </c>
      <c r="J49" s="7">
        <v>6800.0</v>
      </c>
      <c r="K49" s="7">
        <v>109400.0</v>
      </c>
      <c r="L49" s="7">
        <v>82000.0</v>
      </c>
      <c r="M49" s="7">
        <v>1300000.0</v>
      </c>
      <c r="N49" s="9">
        <v>41765.0</v>
      </c>
      <c r="O49" s="7">
        <f t="shared" si="1"/>
        <v>321.6925947</v>
      </c>
      <c r="P49" s="10">
        <f t="shared" si="2"/>
        <v>58100</v>
      </c>
      <c r="Q49" s="11" t="str">
        <f t="shared" si="3"/>
        <v>Mega</v>
      </c>
      <c r="R49" s="12">
        <f t="shared" si="4"/>
        <v>9597.069597</v>
      </c>
      <c r="S49" s="13">
        <f t="shared" si="5"/>
        <v>2125.091441</v>
      </c>
      <c r="T49" s="14">
        <f t="shared" si="6"/>
        <v>0.006487631158</v>
      </c>
      <c r="U49" s="12">
        <f t="shared" si="7"/>
        <v>9</v>
      </c>
      <c r="V49" s="12" t="str">
        <f t="shared" si="8"/>
        <v>🐕 EVITAR</v>
      </c>
      <c r="W49" s="12"/>
    </row>
    <row r="50">
      <c r="A50" s="5">
        <v>50.0</v>
      </c>
      <c r="B50" s="6" t="s">
        <v>88</v>
      </c>
      <c r="C50" s="7">
        <v>1.31E7</v>
      </c>
      <c r="D50" s="7">
        <v>5.333569294E9</v>
      </c>
      <c r="E50" s="8" t="s">
        <v>27</v>
      </c>
      <c r="F50" s="7">
        <v>36760.0</v>
      </c>
      <c r="G50" s="5" t="s">
        <v>25</v>
      </c>
      <c r="H50" s="8" t="s">
        <v>27</v>
      </c>
      <c r="I50" s="7">
        <v>1.7588E7</v>
      </c>
      <c r="J50" s="7">
        <v>4400.0</v>
      </c>
      <c r="K50" s="7">
        <v>70400.0</v>
      </c>
      <c r="L50" s="7">
        <v>52800.0</v>
      </c>
      <c r="M50" s="7">
        <v>844200.0</v>
      </c>
      <c r="N50" s="9">
        <v>40834.0</v>
      </c>
      <c r="O50" s="7">
        <f t="shared" si="1"/>
        <v>407.1426942</v>
      </c>
      <c r="P50" s="10">
        <f t="shared" si="2"/>
        <v>37400</v>
      </c>
      <c r="Q50" s="11" t="str">
        <f t="shared" si="3"/>
        <v>Mega</v>
      </c>
      <c r="R50" s="12">
        <f t="shared" si="4"/>
        <v>356.3656148</v>
      </c>
      <c r="S50" s="13">
        <f t="shared" si="5"/>
        <v>2126.449852</v>
      </c>
      <c r="T50" s="14">
        <f t="shared" si="6"/>
        <v>0.003297604105</v>
      </c>
      <c r="U50" s="12">
        <f t="shared" si="7"/>
        <v>12</v>
      </c>
      <c r="V50" s="12" t="str">
        <f t="shared" si="8"/>
        <v>🐄 VACA LEITEIRA</v>
      </c>
      <c r="W50" s="12"/>
    </row>
    <row r="51">
      <c r="A51" s="5">
        <v>51.0</v>
      </c>
      <c r="B51" s="6" t="s">
        <v>89</v>
      </c>
      <c r="C51" s="7">
        <v>1.3E7</v>
      </c>
      <c r="D51" s="7">
        <v>4.349562794E9</v>
      </c>
      <c r="E51" s="8" t="s">
        <v>24</v>
      </c>
      <c r="F51" s="7">
        <v>521.0</v>
      </c>
      <c r="G51" s="5" t="s">
        <v>25</v>
      </c>
      <c r="H51" s="8" t="s">
        <v>24</v>
      </c>
      <c r="I51" s="7">
        <v>2.9526E7</v>
      </c>
      <c r="J51" s="7">
        <v>7400.0</v>
      </c>
      <c r="K51" s="7">
        <v>118100.0</v>
      </c>
      <c r="L51" s="7">
        <v>88600.0</v>
      </c>
      <c r="M51" s="7">
        <v>1400000.0</v>
      </c>
      <c r="N51" s="9">
        <v>41064.0</v>
      </c>
      <c r="O51" s="7">
        <f t="shared" si="1"/>
        <v>334.5817534</v>
      </c>
      <c r="P51" s="10">
        <f t="shared" si="2"/>
        <v>62750</v>
      </c>
      <c r="Q51" s="11" t="str">
        <f t="shared" si="3"/>
        <v>Mega</v>
      </c>
      <c r="R51" s="12">
        <f t="shared" si="4"/>
        <v>24952.01536</v>
      </c>
      <c r="S51" s="13">
        <f t="shared" si="5"/>
        <v>2125.245546</v>
      </c>
      <c r="T51" s="14">
        <f t="shared" si="6"/>
        <v>0.006788268476</v>
      </c>
      <c r="U51" s="12">
        <f t="shared" si="7"/>
        <v>11</v>
      </c>
      <c r="V51" s="12" t="str">
        <f t="shared" si="8"/>
        <v>🐕 EVITAR</v>
      </c>
      <c r="W51" s="12"/>
    </row>
    <row r="52">
      <c r="A52" s="5">
        <v>51.0</v>
      </c>
      <c r="B52" s="6" t="s">
        <v>90</v>
      </c>
      <c r="C52" s="7">
        <v>1.3E7</v>
      </c>
      <c r="D52" s="7">
        <v>1.024467771E9</v>
      </c>
      <c r="E52" s="8" t="s">
        <v>30</v>
      </c>
      <c r="F52" s="7">
        <v>625.0</v>
      </c>
      <c r="G52" s="5" t="s">
        <v>25</v>
      </c>
      <c r="H52" s="8" t="s">
        <v>27</v>
      </c>
      <c r="I52" s="7">
        <v>3052000.0</v>
      </c>
      <c r="J52" s="7">
        <v>763.0</v>
      </c>
      <c r="K52" s="7">
        <v>12200.0</v>
      </c>
      <c r="L52" s="7">
        <v>9200.0</v>
      </c>
      <c r="M52" s="7">
        <v>146500.0</v>
      </c>
      <c r="N52" s="9">
        <v>39898.0</v>
      </c>
      <c r="O52" s="7">
        <f t="shared" si="1"/>
        <v>78.80521315</v>
      </c>
      <c r="P52" s="10">
        <f t="shared" si="2"/>
        <v>6481.5</v>
      </c>
      <c r="Q52" s="11" t="str">
        <f t="shared" si="3"/>
        <v>Mega</v>
      </c>
      <c r="R52" s="12">
        <f t="shared" si="4"/>
        <v>20800</v>
      </c>
      <c r="S52" s="13">
        <f t="shared" si="5"/>
        <v>2123.689384</v>
      </c>
      <c r="T52" s="14">
        <f t="shared" si="6"/>
        <v>0.002979107871</v>
      </c>
      <c r="U52" s="12">
        <f t="shared" si="7"/>
        <v>14</v>
      </c>
      <c r="V52" s="12" t="str">
        <f t="shared" si="8"/>
        <v>🐕 EVITAR</v>
      </c>
      <c r="W52" s="12"/>
    </row>
    <row r="53">
      <c r="A53" s="5">
        <v>52.0</v>
      </c>
      <c r="B53" s="6" t="s">
        <v>91</v>
      </c>
      <c r="C53" s="7">
        <v>1.29E7</v>
      </c>
      <c r="D53" s="7">
        <v>2.11227421E9</v>
      </c>
      <c r="E53" s="8" t="s">
        <v>33</v>
      </c>
      <c r="F53" s="7">
        <v>4712.0</v>
      </c>
      <c r="G53" s="5" t="s">
        <v>25</v>
      </c>
      <c r="H53" s="8" t="s">
        <v>65</v>
      </c>
      <c r="I53" s="7">
        <v>3.1796E7</v>
      </c>
      <c r="J53" s="7">
        <v>7900.0</v>
      </c>
      <c r="K53" s="7">
        <v>127200.0</v>
      </c>
      <c r="L53" s="7">
        <v>95400.0</v>
      </c>
      <c r="M53" s="7">
        <v>1500000.0</v>
      </c>
      <c r="N53" s="9">
        <v>41293.0</v>
      </c>
      <c r="O53" s="7">
        <f t="shared" si="1"/>
        <v>163.7421868</v>
      </c>
      <c r="P53" s="10">
        <f t="shared" si="2"/>
        <v>67550</v>
      </c>
      <c r="Q53" s="11" t="str">
        <f t="shared" si="3"/>
        <v>Mega</v>
      </c>
      <c r="R53" s="12">
        <f t="shared" si="4"/>
        <v>2737.691002</v>
      </c>
      <c r="S53" s="13">
        <f t="shared" si="5"/>
        <v>2124.481067</v>
      </c>
      <c r="T53" s="14">
        <f t="shared" si="6"/>
        <v>0.01505296985</v>
      </c>
      <c r="U53" s="12">
        <f t="shared" si="7"/>
        <v>10</v>
      </c>
      <c r="V53" s="12" t="str">
        <f t="shared" si="8"/>
        <v>❓ INTERROGAÇÃO</v>
      </c>
      <c r="W53" s="12"/>
    </row>
    <row r="54">
      <c r="A54" s="5">
        <v>52.0</v>
      </c>
      <c r="B54" s="6" t="s">
        <v>92</v>
      </c>
      <c r="C54" s="7">
        <v>1.29E7</v>
      </c>
      <c r="D54" s="7">
        <v>1.40022442E8</v>
      </c>
      <c r="E54" s="8" t="s">
        <v>27</v>
      </c>
      <c r="F54" s="7">
        <v>69.0</v>
      </c>
      <c r="G54" s="5" t="s">
        <v>25</v>
      </c>
      <c r="H54" s="8" t="s">
        <v>27</v>
      </c>
      <c r="I54" s="7">
        <v>147626.0</v>
      </c>
      <c r="J54" s="7">
        <v>37.0</v>
      </c>
      <c r="K54" s="7">
        <v>591.0</v>
      </c>
      <c r="L54" s="7">
        <v>443.0</v>
      </c>
      <c r="M54" s="7">
        <v>7100.0</v>
      </c>
      <c r="N54" s="9">
        <v>42345.0</v>
      </c>
      <c r="O54" s="7">
        <f t="shared" si="1"/>
        <v>10.85445287</v>
      </c>
      <c r="P54" s="10">
        <f t="shared" si="2"/>
        <v>314</v>
      </c>
      <c r="Q54" s="11" t="str">
        <f t="shared" si="3"/>
        <v>Mega</v>
      </c>
      <c r="R54" s="12">
        <f t="shared" si="4"/>
        <v>186956.5217</v>
      </c>
      <c r="S54" s="13">
        <f t="shared" si="5"/>
        <v>2126.9966</v>
      </c>
      <c r="T54" s="14">
        <f t="shared" si="6"/>
        <v>0.001054302424</v>
      </c>
      <c r="U54" s="12">
        <f t="shared" si="7"/>
        <v>8</v>
      </c>
      <c r="V54" s="12" t="str">
        <f t="shared" si="8"/>
        <v>🐕 EVITAR</v>
      </c>
      <c r="W54" s="12"/>
    </row>
    <row r="55">
      <c r="A55" s="5">
        <v>53.0</v>
      </c>
      <c r="B55" s="6" t="s">
        <v>93</v>
      </c>
      <c r="C55" s="7">
        <v>1.27E7</v>
      </c>
      <c r="D55" s="7">
        <v>1.081285962E9</v>
      </c>
      <c r="E55" s="8" t="s">
        <v>38</v>
      </c>
      <c r="F55" s="7">
        <v>504.0</v>
      </c>
      <c r="G55" s="5" t="s">
        <v>25</v>
      </c>
      <c r="H55" s="8" t="s">
        <v>40</v>
      </c>
      <c r="I55" s="7">
        <v>3619000.0</v>
      </c>
      <c r="J55" s="7">
        <v>905.0</v>
      </c>
      <c r="K55" s="7">
        <v>14500.0</v>
      </c>
      <c r="L55" s="7">
        <v>10900.0</v>
      </c>
      <c r="M55" s="7">
        <v>173700.0</v>
      </c>
      <c r="N55" s="9">
        <v>42137.0</v>
      </c>
      <c r="O55" s="7">
        <f t="shared" si="1"/>
        <v>85.14062693</v>
      </c>
      <c r="P55" s="10">
        <f t="shared" si="2"/>
        <v>7702.5</v>
      </c>
      <c r="Q55" s="11" t="str">
        <f t="shared" si="3"/>
        <v>Mega</v>
      </c>
      <c r="R55" s="12">
        <f t="shared" si="4"/>
        <v>25198.4127</v>
      </c>
      <c r="S55" s="13">
        <f t="shared" si="5"/>
        <v>2128.350373</v>
      </c>
      <c r="T55" s="14">
        <f t="shared" si="6"/>
        <v>0.003346940705</v>
      </c>
      <c r="U55" s="12">
        <f t="shared" si="7"/>
        <v>8</v>
      </c>
      <c r="V55" s="12" t="str">
        <f t="shared" si="8"/>
        <v>🐕 EVITAR</v>
      </c>
      <c r="W55" s="12"/>
    </row>
    <row r="56">
      <c r="A56" s="5">
        <v>54.0</v>
      </c>
      <c r="B56" s="6" t="s">
        <v>94</v>
      </c>
      <c r="C56" s="7">
        <v>1.25E7</v>
      </c>
      <c r="D56" s="7">
        <v>1.6690788752E10</v>
      </c>
      <c r="E56" s="8" t="s">
        <v>24</v>
      </c>
      <c r="F56" s="7">
        <v>253.0</v>
      </c>
      <c r="G56" s="5" t="s">
        <v>25</v>
      </c>
      <c r="H56" s="8" t="s">
        <v>24</v>
      </c>
      <c r="I56" s="7">
        <v>2.137E8</v>
      </c>
      <c r="J56" s="7">
        <v>53400.0</v>
      </c>
      <c r="K56" s="7">
        <v>854800.0</v>
      </c>
      <c r="L56" s="7">
        <v>641100.0</v>
      </c>
      <c r="M56" s="7">
        <v>1.03E7</v>
      </c>
      <c r="N56" s="9">
        <v>40815.0</v>
      </c>
      <c r="O56" s="7">
        <f t="shared" si="1"/>
        <v>1335.2631</v>
      </c>
      <c r="P56" s="10">
        <f t="shared" si="2"/>
        <v>454100</v>
      </c>
      <c r="Q56" s="11" t="str">
        <f t="shared" si="3"/>
        <v>Mega</v>
      </c>
      <c r="R56" s="12">
        <f t="shared" si="4"/>
        <v>49407.11462</v>
      </c>
      <c r="S56" s="13">
        <f t="shared" si="5"/>
        <v>2124.941507</v>
      </c>
      <c r="T56" s="14">
        <f t="shared" si="6"/>
        <v>0.01280346922</v>
      </c>
      <c r="U56" s="12">
        <f t="shared" si="7"/>
        <v>12</v>
      </c>
      <c r="V56" s="12" t="str">
        <f t="shared" si="8"/>
        <v>🐄 VACA LEITEIRA</v>
      </c>
      <c r="W56" s="12"/>
    </row>
    <row r="57">
      <c r="A57" s="5">
        <v>54.0</v>
      </c>
      <c r="B57" s="6" t="s">
        <v>95</v>
      </c>
      <c r="C57" s="7">
        <v>1.25E7</v>
      </c>
      <c r="D57" s="7">
        <v>4.625777945E9</v>
      </c>
      <c r="E57" s="8" t="s">
        <v>27</v>
      </c>
      <c r="F57" s="7">
        <v>1888.0</v>
      </c>
      <c r="G57" s="5" t="s">
        <v>25</v>
      </c>
      <c r="H57" s="8" t="s">
        <v>27</v>
      </c>
      <c r="I57" s="7">
        <v>7158000.0</v>
      </c>
      <c r="J57" s="7">
        <v>1800.0</v>
      </c>
      <c r="K57" s="7">
        <v>28600.0</v>
      </c>
      <c r="L57" s="7">
        <v>21500.0</v>
      </c>
      <c r="M57" s="7">
        <v>343600.0</v>
      </c>
      <c r="N57" s="9">
        <v>40676.0</v>
      </c>
      <c r="O57" s="7">
        <f t="shared" si="1"/>
        <v>370.0622356</v>
      </c>
      <c r="P57" s="10">
        <f t="shared" si="2"/>
        <v>15200</v>
      </c>
      <c r="Q57" s="11" t="str">
        <f t="shared" si="3"/>
        <v>Mega</v>
      </c>
      <c r="R57" s="12">
        <f t="shared" si="4"/>
        <v>6620.762712</v>
      </c>
      <c r="S57" s="13">
        <f t="shared" si="5"/>
        <v>2123.498184</v>
      </c>
      <c r="T57" s="14">
        <f t="shared" si="6"/>
        <v>0.001547415394</v>
      </c>
      <c r="U57" s="12">
        <f t="shared" si="7"/>
        <v>12</v>
      </c>
      <c r="V57" s="12" t="str">
        <f t="shared" si="8"/>
        <v>🐕 EVITAR</v>
      </c>
      <c r="W57" s="12"/>
    </row>
    <row r="58">
      <c r="A58" s="5">
        <v>55.0</v>
      </c>
      <c r="B58" s="6" t="s">
        <v>96</v>
      </c>
      <c r="C58" s="7">
        <v>1.23E7</v>
      </c>
      <c r="D58" s="7">
        <v>9.029609749E9</v>
      </c>
      <c r="E58" s="8" t="s">
        <v>97</v>
      </c>
      <c r="F58" s="7">
        <v>1200.0</v>
      </c>
      <c r="G58" s="5" t="s">
        <v>25</v>
      </c>
      <c r="H58" s="8" t="s">
        <v>27</v>
      </c>
      <c r="I58" s="7">
        <v>5.52513E8</v>
      </c>
      <c r="J58" s="7">
        <v>138100.0</v>
      </c>
      <c r="K58" s="7">
        <v>2200000.0</v>
      </c>
      <c r="L58" s="7">
        <v>1700000.0</v>
      </c>
      <c r="M58" s="7">
        <v>2.65E7</v>
      </c>
      <c r="N58" s="9">
        <v>42778.0</v>
      </c>
      <c r="O58" s="7">
        <f t="shared" si="1"/>
        <v>734.1146137</v>
      </c>
      <c r="P58" s="10">
        <f t="shared" si="2"/>
        <v>1169050</v>
      </c>
      <c r="Q58" s="11" t="str">
        <f t="shared" si="3"/>
        <v>Mega</v>
      </c>
      <c r="R58" s="12">
        <f t="shared" si="4"/>
        <v>10250</v>
      </c>
      <c r="S58" s="13">
        <f t="shared" si="5"/>
        <v>2115.877816</v>
      </c>
      <c r="T58" s="14">
        <f t="shared" si="6"/>
        <v>0.06118902315</v>
      </c>
      <c r="U58" s="12">
        <f t="shared" si="7"/>
        <v>6</v>
      </c>
      <c r="V58" s="12" t="str">
        <f t="shared" si="8"/>
        <v>⭐ ESTRELA</v>
      </c>
      <c r="W58" s="12"/>
    </row>
  </sheetData>
  <autoFilter ref="$A$1:$W$995">
    <sortState ref="A1:W995">
      <sortCondition descending="1" ref="C1:C995"/>
      <sortCondition descending="1" ref="T1:T995"/>
      <sortCondition descending="1" ref="P1:P99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2.63"/>
    <col customWidth="1" min="2" max="2" width="15.25"/>
    <col customWidth="1" min="3" max="3" width="22.5"/>
    <col customWidth="1" min="5" max="5" width="20.13"/>
  </cols>
  <sheetData>
    <row r="1">
      <c r="A1" s="15" t="s">
        <v>98</v>
      </c>
      <c r="B1" s="16" t="s">
        <v>99</v>
      </c>
      <c r="C1" s="17"/>
      <c r="D1" s="17"/>
      <c r="E1" s="17"/>
      <c r="F1" s="18"/>
    </row>
    <row r="2">
      <c r="A2" s="19" t="s">
        <v>100</v>
      </c>
      <c r="B2" s="20" t="s">
        <v>101</v>
      </c>
      <c r="C2" s="21" t="s">
        <v>102</v>
      </c>
      <c r="D2" s="21" t="s">
        <v>103</v>
      </c>
      <c r="E2" s="21" t="s">
        <v>104</v>
      </c>
      <c r="F2" s="21" t="s">
        <v>105</v>
      </c>
    </row>
    <row r="3">
      <c r="A3" s="22" t="s">
        <v>98</v>
      </c>
      <c r="B3" s="23">
        <v>1.0</v>
      </c>
      <c r="C3" s="24" t="s">
        <v>34</v>
      </c>
      <c r="D3" s="25">
        <v>3.38E7</v>
      </c>
      <c r="E3" s="25">
        <v>66.0</v>
      </c>
      <c r="F3" s="26">
        <v>512121.2121212121</v>
      </c>
    </row>
    <row r="4">
      <c r="A4" s="27"/>
      <c r="B4" s="23">
        <v>2.0</v>
      </c>
      <c r="C4" s="24" t="s">
        <v>92</v>
      </c>
      <c r="D4" s="25">
        <v>1.29E7</v>
      </c>
      <c r="E4" s="25">
        <v>69.0</v>
      </c>
      <c r="F4" s="26">
        <v>186956.52173913043</v>
      </c>
    </row>
    <row r="5">
      <c r="A5" s="28" t="s">
        <v>106</v>
      </c>
      <c r="B5" s="23">
        <v>3.0</v>
      </c>
      <c r="C5" s="24" t="s">
        <v>86</v>
      </c>
      <c r="D5" s="25">
        <v>1.31E7</v>
      </c>
      <c r="E5" s="25">
        <v>73.0</v>
      </c>
      <c r="F5" s="26">
        <v>179452.05479452055</v>
      </c>
    </row>
    <row r="6">
      <c r="A6" s="29"/>
      <c r="B6" s="23">
        <v>4.0</v>
      </c>
      <c r="C6" s="24" t="s">
        <v>59</v>
      </c>
      <c r="D6" s="25">
        <v>1.72E7</v>
      </c>
      <c r="E6" s="25">
        <v>138.0</v>
      </c>
      <c r="F6" s="26">
        <v>124637.68115942029</v>
      </c>
    </row>
    <row r="7">
      <c r="A7" s="28" t="s">
        <v>107</v>
      </c>
      <c r="B7" s="23">
        <v>5.0</v>
      </c>
      <c r="C7" s="24" t="s">
        <v>49</v>
      </c>
      <c r="D7" s="25">
        <v>2.04E7</v>
      </c>
      <c r="E7" s="25">
        <v>206.0</v>
      </c>
      <c r="F7" s="26">
        <v>99029.12621359223</v>
      </c>
    </row>
    <row r="8">
      <c r="A8" s="29">
        <f>COUNTA(Dados_Brasil!B2:B58)</f>
        <v>57</v>
      </c>
      <c r="B8" s="23">
        <v>6.0</v>
      </c>
      <c r="C8" s="24" t="s">
        <v>29</v>
      </c>
      <c r="D8" s="25">
        <v>4.42E7</v>
      </c>
      <c r="E8" s="25">
        <v>558.0</v>
      </c>
      <c r="F8" s="26">
        <v>79211.46953405018</v>
      </c>
    </row>
    <row r="9">
      <c r="A9" s="29"/>
      <c r="B9" s="23">
        <v>7.0</v>
      </c>
      <c r="C9" s="24" t="s">
        <v>48</v>
      </c>
      <c r="D9" s="25">
        <v>2.08E7</v>
      </c>
      <c r="E9" s="25">
        <v>288.0</v>
      </c>
      <c r="F9" s="26">
        <v>72222.22222222222</v>
      </c>
    </row>
    <row r="10">
      <c r="A10" s="28" t="s">
        <v>108</v>
      </c>
      <c r="B10" s="23">
        <v>8.0</v>
      </c>
      <c r="C10" s="24" t="s">
        <v>32</v>
      </c>
      <c r="D10" s="25">
        <v>3.7E7</v>
      </c>
      <c r="E10" s="25">
        <v>744.0</v>
      </c>
      <c r="F10" s="26">
        <v>49731.18279569892</v>
      </c>
    </row>
    <row r="11">
      <c r="A11" s="28" t="s">
        <v>109</v>
      </c>
      <c r="B11" s="23">
        <v>9.0</v>
      </c>
      <c r="C11" s="24" t="s">
        <v>94</v>
      </c>
      <c r="D11" s="25">
        <v>1.25E7</v>
      </c>
      <c r="E11" s="25">
        <v>253.0</v>
      </c>
      <c r="F11" s="26">
        <v>49407.11462450593</v>
      </c>
    </row>
    <row r="12">
      <c r="A12" s="29">
        <f>COUNTIF(Dados_Brasil!Q2:Q58,"Mega")</f>
        <v>57</v>
      </c>
      <c r="B12" s="23">
        <v>10.0</v>
      </c>
      <c r="C12" s="24" t="s">
        <v>51</v>
      </c>
      <c r="D12" s="25">
        <v>1.99E7</v>
      </c>
      <c r="E12" s="25">
        <v>416.0</v>
      </c>
      <c r="F12" s="26">
        <v>47836.53846153846</v>
      </c>
    </row>
    <row r="13">
      <c r="A13" s="29"/>
    </row>
    <row r="14">
      <c r="A14" s="28" t="s">
        <v>110</v>
      </c>
      <c r="B14" s="30" t="s">
        <v>111</v>
      </c>
      <c r="C14" s="31"/>
      <c r="D14" s="31"/>
      <c r="E14" s="31"/>
      <c r="F14" s="32"/>
    </row>
    <row r="15">
      <c r="A15" s="29">
        <f>COUNTIF(Dados_Brasil!Q2:Q58,"Grande")</f>
        <v>0</v>
      </c>
      <c r="B15" s="33" t="s">
        <v>112</v>
      </c>
      <c r="F15" s="34"/>
    </row>
    <row r="16">
      <c r="A16" s="29"/>
      <c r="B16" s="33" t="s">
        <v>111</v>
      </c>
      <c r="F16" s="34"/>
    </row>
    <row r="17">
      <c r="A17" s="28" t="s">
        <v>113</v>
      </c>
      <c r="B17" s="35"/>
      <c r="F17" s="34"/>
    </row>
    <row r="18">
      <c r="A18" s="29">
        <f>COUNTIF(Dados_Brasil!Q2:Q58,"Médio")</f>
        <v>0</v>
      </c>
      <c r="B18" s="33" t="s">
        <v>114</v>
      </c>
      <c r="F18" s="34"/>
    </row>
    <row r="19">
      <c r="A19" s="29"/>
      <c r="B19" s="36">
        <f>MIN(Dados_Brasil!S2:S58)</f>
        <v>0</v>
      </c>
      <c r="F19" s="34"/>
    </row>
    <row r="20">
      <c r="A20" s="28" t="s">
        <v>115</v>
      </c>
      <c r="B20" s="35"/>
      <c r="F20" s="34"/>
    </row>
    <row r="21">
      <c r="A21" s="29">
        <f>COUNTIF(Dados_Brasil!Q2:Q58,"Pequeno")</f>
        <v>0</v>
      </c>
      <c r="B21" s="33" t="s">
        <v>116</v>
      </c>
      <c r="F21" s="34"/>
    </row>
    <row r="22">
      <c r="A22" s="29"/>
      <c r="B22" s="36">
        <f>MAX(Dados_Brasil!S2:S58)</f>
        <v>2133.368569</v>
      </c>
      <c r="F22" s="34"/>
    </row>
    <row r="23">
      <c r="A23" s="29"/>
      <c r="B23" s="35"/>
      <c r="F23" s="34"/>
    </row>
    <row r="24">
      <c r="A24" s="28" t="s">
        <v>117</v>
      </c>
      <c r="B24" s="33" t="s">
        <v>118</v>
      </c>
      <c r="F24" s="34"/>
    </row>
    <row r="25">
      <c r="A25" s="29"/>
      <c r="B25" s="37">
        <f>AVERAGE(Dados_Brasil!S2:S58)</f>
        <v>2086.408712</v>
      </c>
      <c r="C25" s="38"/>
      <c r="D25" s="38"/>
      <c r="E25" s="38"/>
      <c r="F25" s="39"/>
    </row>
    <row r="26">
      <c r="A26" s="28" t="s">
        <v>119</v>
      </c>
    </row>
    <row r="27">
      <c r="A27" s="40">
        <f>SUM(Dados_Brasil!C2:C58)</f>
        <v>1147700000</v>
      </c>
      <c r="B27" s="41" t="s">
        <v>120</v>
      </c>
      <c r="C27" s="17"/>
      <c r="D27" s="17"/>
      <c r="E27" s="17"/>
      <c r="F27" s="18"/>
    </row>
    <row r="28">
      <c r="A28" s="29"/>
      <c r="B28" s="21" t="s">
        <v>121</v>
      </c>
      <c r="C28" s="21" t="s">
        <v>102</v>
      </c>
      <c r="D28" s="21" t="s">
        <v>122</v>
      </c>
      <c r="E28" s="21" t="s">
        <v>123</v>
      </c>
      <c r="F28" s="21" t="s">
        <v>124</v>
      </c>
    </row>
    <row r="29">
      <c r="A29" s="28" t="s">
        <v>125</v>
      </c>
      <c r="B29" s="21">
        <v>1.0</v>
      </c>
      <c r="C29" s="24" t="s">
        <v>23</v>
      </c>
      <c r="D29" s="42">
        <v>0.0</v>
      </c>
      <c r="E29" s="43">
        <v>0.0</v>
      </c>
      <c r="F29" s="25">
        <v>4.47223E8</v>
      </c>
    </row>
    <row r="30">
      <c r="A30" s="40">
        <f>AVERAGE(Dados_Brasil!C2:C58)</f>
        <v>20135087.72</v>
      </c>
      <c r="B30" s="21">
        <v>2.0</v>
      </c>
      <c r="C30" s="24" t="s">
        <v>42</v>
      </c>
      <c r="D30" s="42">
        <v>2094.9476722730683</v>
      </c>
      <c r="E30" s="43">
        <v>1595200.0</v>
      </c>
      <c r="F30" s="25">
        <v>7.61451E8</v>
      </c>
    </row>
    <row r="31">
      <c r="A31" s="29"/>
      <c r="B31" s="21">
        <v>3.0</v>
      </c>
      <c r="C31" s="24" t="s">
        <v>39</v>
      </c>
      <c r="D31" s="42">
        <v>2104.5859452325967</v>
      </c>
      <c r="E31" s="43">
        <v>637900.0</v>
      </c>
      <c r="F31" s="25">
        <v>3.031E8</v>
      </c>
    </row>
    <row r="32">
      <c r="A32" s="28" t="s">
        <v>126</v>
      </c>
      <c r="B32" s="21">
        <v>4.0</v>
      </c>
      <c r="C32" s="24" t="s">
        <v>34</v>
      </c>
      <c r="D32" s="42">
        <v>2107.640988530587</v>
      </c>
      <c r="E32" s="43">
        <v>850450.0</v>
      </c>
      <c r="F32" s="25">
        <v>4.03508E8</v>
      </c>
    </row>
    <row r="33">
      <c r="A33" s="40">
        <f>MAX(Dados_Brasil!C2:C58)</f>
        <v>66500000</v>
      </c>
      <c r="B33" s="21">
        <v>5.0</v>
      </c>
      <c r="C33" s="24" t="s">
        <v>31</v>
      </c>
      <c r="D33" s="42">
        <v>2112.7522935779816</v>
      </c>
      <c r="E33" s="43">
        <v>3454350.0</v>
      </c>
      <c r="F33" s="25">
        <v>1.635E9</v>
      </c>
    </row>
    <row r="34">
      <c r="A34" s="29"/>
      <c r="B34" s="21">
        <v>6.0</v>
      </c>
      <c r="C34" s="24" t="s">
        <v>32</v>
      </c>
      <c r="D34" s="42">
        <v>2113.549864982561</v>
      </c>
      <c r="E34" s="43">
        <v>531450.0</v>
      </c>
      <c r="F34" s="25">
        <v>2.51449E8</v>
      </c>
    </row>
    <row r="35">
      <c r="A35" s="28" t="s">
        <v>127</v>
      </c>
      <c r="B35" s="21">
        <v>7.0</v>
      </c>
      <c r="C35" s="24" t="s">
        <v>96</v>
      </c>
      <c r="D35" s="42">
        <v>2115.8778164495675</v>
      </c>
      <c r="E35" s="43">
        <v>1169050.0</v>
      </c>
      <c r="F35" s="25">
        <v>5.52513E8</v>
      </c>
    </row>
    <row r="36">
      <c r="A36" s="40">
        <f>MIN(Dados_Brasil!C2:C58)</f>
        <v>12300000</v>
      </c>
      <c r="B36" s="21">
        <v>8.0</v>
      </c>
      <c r="C36" s="24" t="s">
        <v>95</v>
      </c>
      <c r="D36" s="42">
        <v>2123.4981838502376</v>
      </c>
      <c r="E36" s="43">
        <v>15200.0</v>
      </c>
      <c r="F36" s="25">
        <v>7158000.0</v>
      </c>
    </row>
    <row r="37">
      <c r="A37" s="29"/>
      <c r="B37" s="21">
        <v>9.0</v>
      </c>
      <c r="C37" s="24" t="s">
        <v>90</v>
      </c>
      <c r="D37" s="42">
        <v>2123.689384010485</v>
      </c>
      <c r="E37" s="43">
        <v>6481.5</v>
      </c>
      <c r="F37" s="25">
        <v>3052000.0</v>
      </c>
    </row>
    <row r="38">
      <c r="A38" s="28" t="s">
        <v>128</v>
      </c>
      <c r="B38" s="21">
        <v>10.0</v>
      </c>
      <c r="C38" s="24" t="s">
        <v>76</v>
      </c>
      <c r="D38" s="42">
        <v>2123.826680572675</v>
      </c>
      <c r="E38" s="43">
        <v>22400.0</v>
      </c>
      <c r="F38" s="25">
        <v>1.0547E7</v>
      </c>
    </row>
    <row r="39">
      <c r="A39" s="40">
        <f>MEDIAN(Dados_Brasil!C2:C58)</f>
        <v>15900000</v>
      </c>
    </row>
    <row r="40">
      <c r="A40" s="29"/>
      <c r="B40" s="30" t="s">
        <v>111</v>
      </c>
      <c r="C40" s="31"/>
      <c r="D40" s="31"/>
      <c r="E40" s="31"/>
      <c r="F40" s="32"/>
    </row>
    <row r="41">
      <c r="A41" s="29"/>
      <c r="B41" s="33" t="s">
        <v>129</v>
      </c>
      <c r="F41" s="34"/>
    </row>
    <row r="42">
      <c r="A42" s="28" t="s">
        <v>130</v>
      </c>
      <c r="B42" s="33" t="s">
        <v>111</v>
      </c>
      <c r="F42" s="34"/>
    </row>
    <row r="43">
      <c r="A43" s="29"/>
      <c r="B43" s="35"/>
      <c r="F43" s="34"/>
    </row>
    <row r="44">
      <c r="A44" s="28" t="s">
        <v>131</v>
      </c>
      <c r="B44" s="33" t="s">
        <v>132</v>
      </c>
      <c r="F44" s="34"/>
    </row>
    <row r="45">
      <c r="A45" s="40">
        <f>SUM(Dados_Brasil!D2:D58)</f>
        <v>459782887828</v>
      </c>
      <c r="B45" s="44">
        <f>MAX(Dados_Brasil!T2:T58)</f>
        <v>0.06499900216</v>
      </c>
      <c r="F45" s="34"/>
    </row>
    <row r="46">
      <c r="A46" s="29"/>
      <c r="B46" s="35"/>
      <c r="F46" s="34"/>
    </row>
    <row r="47">
      <c r="A47" s="28" t="s">
        <v>133</v>
      </c>
      <c r="B47" s="33" t="s">
        <v>134</v>
      </c>
      <c r="F47" s="34"/>
    </row>
    <row r="48">
      <c r="A48" s="40">
        <f>AVERAGE(Dados_Brasil!D2:D58)</f>
        <v>8066366453</v>
      </c>
      <c r="B48" s="44">
        <f>MIN(Dados_Brasil!T2:T58)</f>
        <v>0.0006076136904</v>
      </c>
      <c r="F48" s="34"/>
    </row>
    <row r="49">
      <c r="A49" s="29"/>
      <c r="B49" s="35"/>
      <c r="F49" s="34"/>
    </row>
    <row r="50">
      <c r="A50" s="28" t="s">
        <v>135</v>
      </c>
      <c r="B50" s="33" t="s">
        <v>136</v>
      </c>
      <c r="F50" s="34"/>
    </row>
    <row r="51">
      <c r="A51" s="40">
        <f>MAX(Dados_Brasil!D2:D58)</f>
        <v>36775585925</v>
      </c>
      <c r="B51" s="45">
        <f>AVERAGE(Dados_Brasil!T2:T58)</f>
        <v>0.01281823799</v>
      </c>
      <c r="C51" s="38"/>
      <c r="D51" s="38"/>
      <c r="E51" s="38"/>
      <c r="F51" s="39"/>
    </row>
    <row r="52">
      <c r="A52" s="29"/>
    </row>
    <row r="53">
      <c r="A53" s="28" t="s">
        <v>137</v>
      </c>
      <c r="B53" s="41" t="s">
        <v>138</v>
      </c>
      <c r="C53" s="17"/>
      <c r="D53" s="17"/>
      <c r="E53" s="17"/>
      <c r="F53" s="18"/>
    </row>
    <row r="54">
      <c r="A54" s="40">
        <f>MIN(Dados_Brasil!D2:D58)</f>
        <v>140022442</v>
      </c>
      <c r="B54" s="21" t="s">
        <v>121</v>
      </c>
      <c r="C54" s="21" t="s">
        <v>102</v>
      </c>
      <c r="D54" s="21" t="s">
        <v>139</v>
      </c>
      <c r="E54" s="21" t="s">
        <v>124</v>
      </c>
      <c r="F54" s="21" t="s">
        <v>140</v>
      </c>
    </row>
    <row r="55">
      <c r="A55" s="29"/>
      <c r="B55" s="21">
        <v>1.0</v>
      </c>
      <c r="C55" s="24" t="s">
        <v>31</v>
      </c>
      <c r="D55" s="46">
        <v>0.06499900216036432</v>
      </c>
      <c r="E55" s="25">
        <v>1.635E9</v>
      </c>
      <c r="F55" s="25">
        <v>2.5154232306E10</v>
      </c>
    </row>
    <row r="56">
      <c r="A56" s="29"/>
      <c r="B56" s="21">
        <v>2.0</v>
      </c>
      <c r="C56" s="24" t="s">
        <v>96</v>
      </c>
      <c r="D56" s="46">
        <v>0.06118902315365169</v>
      </c>
      <c r="E56" s="25">
        <v>5.52513E8</v>
      </c>
      <c r="F56" s="25">
        <v>9.029609749E9</v>
      </c>
    </row>
    <row r="57">
      <c r="A57" s="28" t="s">
        <v>141</v>
      </c>
      <c r="B57" s="21">
        <v>3.0</v>
      </c>
      <c r="C57" s="24" t="s">
        <v>42</v>
      </c>
      <c r="D57" s="46">
        <v>0.05461158640184797</v>
      </c>
      <c r="E57" s="25">
        <v>7.61451E8</v>
      </c>
      <c r="F57" s="25">
        <v>1.3943030228E10</v>
      </c>
    </row>
    <row r="58">
      <c r="A58" s="29"/>
      <c r="B58" s="21">
        <v>4.0</v>
      </c>
      <c r="C58" s="24" t="s">
        <v>60</v>
      </c>
      <c r="D58" s="46">
        <v>0.04244065883512778</v>
      </c>
      <c r="E58" s="25">
        <v>1.49543E8</v>
      </c>
      <c r="F58" s="25">
        <v>3.523578665E9</v>
      </c>
    </row>
    <row r="59">
      <c r="A59" s="28" t="s">
        <v>142</v>
      </c>
      <c r="B59" s="21">
        <v>5.0</v>
      </c>
      <c r="C59" s="24" t="s">
        <v>39</v>
      </c>
      <c r="D59" s="46">
        <v>0.026067651703526668</v>
      </c>
      <c r="E59" s="25">
        <v>3.031E8</v>
      </c>
      <c r="F59" s="25">
        <v>1.1627437847E10</v>
      </c>
    </row>
    <row r="60">
      <c r="A60" s="40">
        <f>AVERAGE(Dados_Brasil!F2:F58)</f>
        <v>2908.842105</v>
      </c>
      <c r="B60" s="21">
        <v>6.0</v>
      </c>
      <c r="C60" s="24" t="s">
        <v>49</v>
      </c>
      <c r="D60" s="46">
        <v>0.02198775034063518</v>
      </c>
      <c r="E60" s="25">
        <v>3.9495E7</v>
      </c>
      <c r="F60" s="25">
        <v>1.796227417E9</v>
      </c>
    </row>
    <row r="61">
      <c r="A61" s="29"/>
      <c r="B61" s="21">
        <v>7.0</v>
      </c>
      <c r="C61" s="24" t="s">
        <v>44</v>
      </c>
      <c r="D61" s="46">
        <v>0.020126705314771096</v>
      </c>
      <c r="E61" s="25">
        <v>1.93174E8</v>
      </c>
      <c r="F61" s="25">
        <v>9.597894786E9</v>
      </c>
    </row>
    <row r="62">
      <c r="A62" s="28" t="s">
        <v>143</v>
      </c>
      <c r="B62" s="21">
        <v>8.0</v>
      </c>
      <c r="C62" s="24" t="s">
        <v>81</v>
      </c>
      <c r="D62" s="46">
        <v>0.018810410441606487</v>
      </c>
      <c r="E62" s="25">
        <v>1.06718E8</v>
      </c>
      <c r="F62" s="25">
        <v>5.673347763E9</v>
      </c>
    </row>
    <row r="63">
      <c r="A63" s="40">
        <f>MAX(Dados_Brasil!F2:F58)</f>
        <v>36760</v>
      </c>
      <c r="B63" s="21">
        <v>9.0</v>
      </c>
      <c r="C63" s="24" t="s">
        <v>85</v>
      </c>
      <c r="D63" s="46">
        <v>0.017211819776313</v>
      </c>
      <c r="E63" s="25">
        <v>4.399E7</v>
      </c>
      <c r="F63" s="25">
        <v>2.555801802E9</v>
      </c>
    </row>
    <row r="64">
      <c r="A64" s="29"/>
      <c r="B64" s="21">
        <v>10.0</v>
      </c>
      <c r="C64" s="24" t="s">
        <v>70</v>
      </c>
      <c r="D64" s="46">
        <v>0.016350057530195708</v>
      </c>
      <c r="E64" s="25">
        <v>1.45478E8</v>
      </c>
      <c r="F64" s="25">
        <v>8.897705695E9</v>
      </c>
    </row>
    <row r="65">
      <c r="A65" s="28" t="s">
        <v>144</v>
      </c>
    </row>
    <row r="66">
      <c r="A66" s="40">
        <f>MIN(Dados_Brasil!F2:F58)</f>
        <v>66</v>
      </c>
      <c r="B66" s="30" t="s">
        <v>145</v>
      </c>
      <c r="C66" s="31"/>
      <c r="D66" s="31"/>
      <c r="E66" s="31"/>
      <c r="F66" s="32"/>
    </row>
    <row r="67">
      <c r="A67" s="29"/>
      <c r="B67" s="33" t="s">
        <v>146</v>
      </c>
      <c r="F67" s="34"/>
    </row>
    <row r="68">
      <c r="A68" s="29"/>
      <c r="B68" s="33" t="s">
        <v>145</v>
      </c>
      <c r="F68" s="34"/>
    </row>
    <row r="69">
      <c r="A69" s="28" t="s">
        <v>147</v>
      </c>
      <c r="B69" s="35"/>
      <c r="F69" s="34"/>
    </row>
    <row r="70">
      <c r="A70" s="29"/>
      <c r="B70" s="33" t="s">
        <v>148</v>
      </c>
      <c r="F70" s="34"/>
    </row>
    <row r="71">
      <c r="A71" s="28" t="s">
        <v>149</v>
      </c>
      <c r="B71" s="35">
        <f>COUNTIF(Dados_Brasil!O2:O58,"&gt;800")</f>
        <v>3</v>
      </c>
      <c r="F71" s="34"/>
    </row>
    <row r="72">
      <c r="A72" s="47">
        <f>AVERAGE(Dados_Brasil!P2:P58)</f>
        <v>258859.693</v>
      </c>
      <c r="B72" s="35"/>
      <c r="F72" s="34"/>
    </row>
    <row r="73">
      <c r="A73" s="29"/>
      <c r="B73" s="33" t="s">
        <v>150</v>
      </c>
      <c r="F73" s="34"/>
    </row>
    <row r="74">
      <c r="A74" s="28" t="s">
        <v>151</v>
      </c>
      <c r="B74" s="35">
        <f>COUNTIFS(Dados_Brasil!O2:O58,"&gt;=400",Dados_Brasil!O2:O58,"&lt;800")</f>
        <v>19</v>
      </c>
      <c r="F74" s="34"/>
    </row>
    <row r="75">
      <c r="A75" s="47">
        <f>MAX(Dados_Brasil!P2:P58)</f>
        <v>3454350</v>
      </c>
      <c r="B75" s="35"/>
      <c r="F75" s="34"/>
    </row>
    <row r="76">
      <c r="A76" s="29"/>
      <c r="B76" s="33" t="s">
        <v>152</v>
      </c>
      <c r="F76" s="34"/>
    </row>
    <row r="77">
      <c r="A77" s="28" t="s">
        <v>153</v>
      </c>
      <c r="B77" s="35">
        <f>COUNTIFS(Dados_Brasil!O2:O58,"&gt;=200",Dados_Brasil!O2:O58,"&lt;400")</f>
        <v>21</v>
      </c>
      <c r="F77" s="34"/>
    </row>
    <row r="78">
      <c r="A78" s="47">
        <f>MIN(Dados_Brasil!P2:P58)</f>
        <v>0</v>
      </c>
      <c r="B78" s="35"/>
      <c r="F78" s="34"/>
    </row>
    <row r="79">
      <c r="A79" s="29"/>
      <c r="B79" s="33" t="s">
        <v>154</v>
      </c>
      <c r="F79" s="34"/>
    </row>
    <row r="80">
      <c r="A80" s="28" t="s">
        <v>155</v>
      </c>
      <c r="B80" s="35">
        <f>COUNTIF(Dados_Brasil!O2:O58,"&lt;200")</f>
        <v>14</v>
      </c>
      <c r="F80" s="34"/>
    </row>
    <row r="81">
      <c r="A81" s="47">
        <f>SUM(Dados_Brasil!P2:P58)</f>
        <v>14755002.5</v>
      </c>
      <c r="B81" s="35"/>
      <c r="F81" s="34"/>
    </row>
    <row r="82">
      <c r="A82" s="29"/>
      <c r="B82" s="33" t="s">
        <v>156</v>
      </c>
      <c r="F82" s="34"/>
    </row>
    <row r="83">
      <c r="A83" s="29"/>
      <c r="B83" s="48">
        <f>(COUNTIF(Dados_Brasil!O2:O58,"&gt;400")/57)*100</f>
        <v>38.59649123</v>
      </c>
      <c r="C83" s="38"/>
      <c r="D83" s="38"/>
      <c r="E83" s="38"/>
      <c r="F83" s="39"/>
    </row>
    <row r="84">
      <c r="A84" s="28" t="s">
        <v>157</v>
      </c>
    </row>
    <row r="85">
      <c r="A85" s="29"/>
      <c r="B85" s="30" t="s">
        <v>158</v>
      </c>
      <c r="C85" s="31"/>
      <c r="D85" s="31"/>
      <c r="E85" s="31"/>
      <c r="F85" s="32"/>
    </row>
    <row r="86">
      <c r="A86" s="28" t="s">
        <v>159</v>
      </c>
      <c r="B86" s="33" t="s">
        <v>160</v>
      </c>
      <c r="F86" s="34"/>
    </row>
    <row r="87">
      <c r="A87" s="40">
        <f>AVERAGE(Dados_Brasil!O2:O58)</f>
        <v>392.2805789</v>
      </c>
      <c r="B87" s="33" t="s">
        <v>158</v>
      </c>
      <c r="F87" s="34"/>
    </row>
    <row r="88">
      <c r="A88" s="29"/>
      <c r="B88" s="49"/>
      <c r="C88" s="50"/>
      <c r="F88" s="34"/>
    </row>
    <row r="89">
      <c r="A89" s="28" t="s">
        <v>161</v>
      </c>
      <c r="B89" s="51" t="s">
        <v>162</v>
      </c>
      <c r="C89" s="50"/>
      <c r="F89" s="34"/>
    </row>
    <row r="90">
      <c r="A90" s="40">
        <f>MAX(Dados_Brasil!O2:O58)</f>
        <v>1335.2631</v>
      </c>
      <c r="B90" s="52">
        <f>AVERAGE(Dados_Brasil!U2:U58)</f>
        <v>10.35087719</v>
      </c>
      <c r="C90" s="50"/>
      <c r="F90" s="34"/>
    </row>
    <row r="91">
      <c r="A91" s="29"/>
      <c r="B91" s="49"/>
      <c r="C91" s="50"/>
      <c r="F91" s="34"/>
    </row>
    <row r="92">
      <c r="A92" s="28" t="s">
        <v>163</v>
      </c>
      <c r="B92" s="51" t="s">
        <v>164</v>
      </c>
      <c r="C92" s="50"/>
      <c r="F92" s="34"/>
    </row>
    <row r="93">
      <c r="A93" s="40">
        <f>MIN(Dados_Brasil!O2:O58)</f>
        <v>10.85445287</v>
      </c>
      <c r="B93" s="52">
        <f>MAX(Dados_Brasil!U2:U58)</f>
        <v>17</v>
      </c>
      <c r="C93" s="50"/>
      <c r="F93" s="34"/>
    </row>
    <row r="94">
      <c r="A94" s="29"/>
      <c r="B94" s="49"/>
      <c r="C94" s="50"/>
      <c r="F94" s="34"/>
    </row>
    <row r="95">
      <c r="A95" s="29"/>
      <c r="B95" s="51" t="s">
        <v>165</v>
      </c>
      <c r="C95" s="50"/>
      <c r="F95" s="34"/>
    </row>
    <row r="96">
      <c r="A96" s="28" t="s">
        <v>166</v>
      </c>
      <c r="B96" s="52">
        <f>MIN(Dados_Brasil!U2:U58)</f>
        <v>3</v>
      </c>
      <c r="C96" s="50"/>
      <c r="F96" s="34"/>
    </row>
    <row r="97">
      <c r="A97" s="29"/>
      <c r="B97" s="49"/>
      <c r="C97" s="50"/>
      <c r="F97" s="34"/>
    </row>
    <row r="98">
      <c r="A98" s="28" t="s">
        <v>167</v>
      </c>
      <c r="B98" s="51" t="s">
        <v>168</v>
      </c>
      <c r="C98" s="50"/>
      <c r="F98" s="34"/>
    </row>
    <row r="99">
      <c r="A99" s="40">
        <f>AVERAGE(Dados_Brasil!I2:I58)</f>
        <v>130189747.8</v>
      </c>
      <c r="B99" s="49">
        <f>COUNTIF(Dados_Brasil!U2:U58,"&gt;10")</f>
        <v>28</v>
      </c>
      <c r="C99" s="50"/>
      <c r="F99" s="34"/>
    </row>
    <row r="100">
      <c r="A100" s="29"/>
      <c r="B100" s="49"/>
      <c r="C100" s="50"/>
      <c r="F100" s="34"/>
    </row>
    <row r="101">
      <c r="A101" s="28" t="s">
        <v>169</v>
      </c>
      <c r="B101" s="51" t="s">
        <v>170</v>
      </c>
      <c r="C101" s="50"/>
      <c r="F101" s="34"/>
    </row>
    <row r="102">
      <c r="A102" s="40">
        <f>MAX(Dados_Brasil!I2:I58)</f>
        <v>1635000000</v>
      </c>
      <c r="B102" s="49">
        <f>COUNTIFS(Dados_Brasil!U2:U58,"&gt;=5",Dados_Brasil!U2:U58,"&lt;=10")</f>
        <v>28</v>
      </c>
      <c r="C102" s="50"/>
      <c r="F102" s="34"/>
    </row>
    <row r="103">
      <c r="A103" s="29"/>
      <c r="B103" s="49"/>
      <c r="C103" s="50"/>
      <c r="F103" s="34"/>
    </row>
    <row r="104">
      <c r="A104" s="28" t="s">
        <v>171</v>
      </c>
      <c r="B104" s="51" t="s">
        <v>172</v>
      </c>
      <c r="C104" s="50"/>
      <c r="F104" s="34"/>
    </row>
    <row r="105">
      <c r="A105" s="40">
        <f>MIN(Dados_Brasil!I2:I58)</f>
        <v>147626</v>
      </c>
      <c r="B105" s="53">
        <f>COUNTIF(Dados_Brasil!U2:U58,"&lt;5")</f>
        <v>1</v>
      </c>
      <c r="C105" s="54"/>
      <c r="D105" s="38"/>
      <c r="E105" s="38"/>
      <c r="F105" s="39"/>
    </row>
    <row r="106">
      <c r="A106" s="27"/>
    </row>
    <row r="107">
      <c r="A107" s="22" t="s">
        <v>158</v>
      </c>
      <c r="B107" s="30" t="s">
        <v>158</v>
      </c>
      <c r="C107" s="31"/>
      <c r="D107" s="31"/>
      <c r="E107" s="31"/>
      <c r="F107" s="32"/>
    </row>
    <row r="108">
      <c r="A108" s="22" t="s">
        <v>173</v>
      </c>
      <c r="B108" s="33" t="s">
        <v>174</v>
      </c>
      <c r="F108" s="34"/>
    </row>
    <row r="109">
      <c r="A109" s="22" t="s">
        <v>158</v>
      </c>
      <c r="B109" s="33" t="s">
        <v>158</v>
      </c>
      <c r="F109" s="34"/>
    </row>
    <row r="110">
      <c r="A110" s="29"/>
      <c r="B110" s="49"/>
      <c r="C110" s="50"/>
      <c r="F110" s="34"/>
    </row>
    <row r="111">
      <c r="A111" s="28" t="s">
        <v>175</v>
      </c>
      <c r="B111" s="51" t="s">
        <v>176</v>
      </c>
      <c r="C111" s="50"/>
      <c r="F111" s="34"/>
    </row>
    <row r="112">
      <c r="A112" s="40">
        <f>MAX(Dados_Brasil!R2:R58)</f>
        <v>512121.2121</v>
      </c>
      <c r="B112" s="51" t="s">
        <v>177</v>
      </c>
      <c r="C112" s="50"/>
      <c r="F112" s="34"/>
    </row>
    <row r="113">
      <c r="A113" s="29"/>
      <c r="B113" s="49">
        <f>COUNTIF(Dados_Brasil!V2:V58,"⭐ ESTRELA")</f>
        <v>10</v>
      </c>
      <c r="C113" s="50"/>
      <c r="F113" s="34"/>
    </row>
    <row r="114">
      <c r="A114" s="28" t="s">
        <v>178</v>
      </c>
      <c r="B114" s="49"/>
      <c r="C114" s="50"/>
      <c r="F114" s="34"/>
    </row>
    <row r="115">
      <c r="A115" s="40">
        <f>MIN(Dados_Brasil!R2:R58)</f>
        <v>356.3656148</v>
      </c>
      <c r="B115" s="51" t="s">
        <v>179</v>
      </c>
      <c r="C115" s="50"/>
      <c r="F115" s="34"/>
    </row>
    <row r="116">
      <c r="A116" s="29"/>
      <c r="B116" s="51" t="s">
        <v>180</v>
      </c>
      <c r="C116" s="50"/>
      <c r="F116" s="34"/>
    </row>
    <row r="117">
      <c r="A117" s="28" t="s">
        <v>181</v>
      </c>
      <c r="B117" s="49">
        <f>COUNTIF(Dados_Brasil!V2:V58,"🐄 VACA LEITEIRA")</f>
        <v>15</v>
      </c>
      <c r="C117" s="50"/>
      <c r="F117" s="34"/>
    </row>
    <row r="118">
      <c r="A118" s="40">
        <f>AVERAGE(Dados_Brasil!R2:R58)</f>
        <v>35271.39147</v>
      </c>
      <c r="B118" s="49"/>
      <c r="C118" s="50"/>
      <c r="F118" s="34"/>
    </row>
    <row r="119">
      <c r="A119" s="29"/>
      <c r="B119" s="51" t="s">
        <v>182</v>
      </c>
      <c r="C119" s="50"/>
      <c r="F119" s="34"/>
    </row>
    <row r="120">
      <c r="A120" s="28" t="s">
        <v>183</v>
      </c>
      <c r="B120" s="51" t="s">
        <v>184</v>
      </c>
      <c r="C120" s="50"/>
      <c r="F120" s="34"/>
    </row>
    <row r="121">
      <c r="A121" s="40">
        <f>MEDIAN(Dados_Brasil!R2:R58)</f>
        <v>11267.60563</v>
      </c>
      <c r="B121" s="49">
        <f>COUNTIF(Dados_Brasil!V2:V58,"❓ INTERROGAÇÃO")</f>
        <v>9</v>
      </c>
      <c r="C121" s="50"/>
      <c r="F121" s="34"/>
    </row>
    <row r="122">
      <c r="A122" s="27"/>
      <c r="B122" s="49"/>
      <c r="C122" s="50"/>
      <c r="F122" s="34"/>
    </row>
    <row r="123">
      <c r="A123" s="27"/>
      <c r="B123" s="51" t="s">
        <v>185</v>
      </c>
      <c r="C123" s="50"/>
      <c r="F123" s="34"/>
    </row>
    <row r="124">
      <c r="A124" s="55" t="s">
        <v>158</v>
      </c>
      <c r="B124" s="51" t="s">
        <v>186</v>
      </c>
      <c r="C124" s="50"/>
      <c r="F124" s="34"/>
    </row>
    <row r="125">
      <c r="A125" s="55" t="s">
        <v>187</v>
      </c>
      <c r="B125" s="53">
        <f>COUNTIF(Dados_Brasil!V2:V58,"🐕 EVITAR")</f>
        <v>23</v>
      </c>
      <c r="C125" s="54"/>
      <c r="D125" s="38"/>
      <c r="E125" s="38"/>
      <c r="F125" s="39"/>
    </row>
    <row r="126">
      <c r="A126" s="55" t="s">
        <v>158</v>
      </c>
    </row>
    <row r="127">
      <c r="A127" s="56"/>
      <c r="B127" s="57" t="s">
        <v>188</v>
      </c>
      <c r="C127" s="18"/>
      <c r="E127" s="21" t="s">
        <v>189</v>
      </c>
      <c r="F127" s="21" t="s">
        <v>190</v>
      </c>
    </row>
    <row r="128">
      <c r="A128" s="55" t="s">
        <v>191</v>
      </c>
      <c r="B128" s="58"/>
      <c r="C128" s="18"/>
      <c r="E128" s="59" t="s">
        <v>192</v>
      </c>
      <c r="F128" s="21">
        <v>3.0</v>
      </c>
    </row>
    <row r="129">
      <c r="A129" s="56"/>
      <c r="B129" s="60" t="s">
        <v>193</v>
      </c>
      <c r="C129" s="18"/>
      <c r="D129" s="12"/>
      <c r="E129" s="59" t="s">
        <v>194</v>
      </c>
      <c r="F129" s="21">
        <v>19.0</v>
      </c>
    </row>
    <row r="130">
      <c r="A130" s="55" t="s">
        <v>195</v>
      </c>
      <c r="B130" s="60" t="s">
        <v>196</v>
      </c>
      <c r="C130" s="18"/>
      <c r="D130" s="12"/>
      <c r="E130" s="59" t="s">
        <v>197</v>
      </c>
      <c r="F130" s="21">
        <v>21.0</v>
      </c>
    </row>
    <row r="131">
      <c r="A131" s="55" t="s">
        <v>198</v>
      </c>
      <c r="B131" s="60" t="s">
        <v>199</v>
      </c>
      <c r="C131" s="18"/>
      <c r="D131" s="12"/>
      <c r="E131" s="59" t="s">
        <v>200</v>
      </c>
      <c r="F131" s="21">
        <v>14.0</v>
      </c>
    </row>
    <row r="132">
      <c r="A132" s="55" t="s">
        <v>201</v>
      </c>
      <c r="B132" s="60" t="s">
        <v>202</v>
      </c>
      <c r="C132" s="18"/>
      <c r="D132" s="12"/>
    </row>
    <row r="133">
      <c r="A133" s="56"/>
      <c r="B133" s="60" t="s">
        <v>203</v>
      </c>
      <c r="C133" s="18"/>
      <c r="D133" s="12"/>
    </row>
    <row r="134">
      <c r="A134" s="55" t="s">
        <v>204</v>
      </c>
      <c r="B134" s="60" t="s">
        <v>205</v>
      </c>
      <c r="C134" s="18"/>
      <c r="D134" s="12"/>
    </row>
    <row r="135">
      <c r="A135" s="55" t="s">
        <v>206</v>
      </c>
      <c r="B135" s="24" t="s">
        <v>207</v>
      </c>
      <c r="C135" s="61"/>
      <c r="D135" s="12"/>
    </row>
    <row r="136">
      <c r="A136" s="55" t="s">
        <v>208</v>
      </c>
      <c r="B136" s="24" t="s">
        <v>209</v>
      </c>
      <c r="C136" s="61"/>
      <c r="D136" s="12"/>
    </row>
    <row r="137">
      <c r="A137" s="56"/>
      <c r="B137" s="60" t="s">
        <v>210</v>
      </c>
      <c r="C137" s="18"/>
      <c r="D137" s="12"/>
    </row>
    <row r="138">
      <c r="A138" s="55" t="s">
        <v>211</v>
      </c>
      <c r="B138" s="60" t="s">
        <v>212</v>
      </c>
      <c r="C138" s="18"/>
      <c r="D138" s="12"/>
    </row>
    <row r="139">
      <c r="A139" s="55" t="s">
        <v>213</v>
      </c>
      <c r="B139" s="58"/>
      <c r="C139" s="18"/>
    </row>
    <row r="140">
      <c r="A140" s="55" t="s">
        <v>214</v>
      </c>
    </row>
    <row r="141">
      <c r="A141" s="55" t="s">
        <v>215</v>
      </c>
    </row>
    <row r="142">
      <c r="A142" s="56"/>
    </row>
    <row r="143">
      <c r="A143" s="55" t="s">
        <v>216</v>
      </c>
    </row>
    <row r="144">
      <c r="A144" s="55" t="s">
        <v>217</v>
      </c>
    </row>
    <row r="145">
      <c r="A145" s="55" t="s">
        <v>218</v>
      </c>
    </row>
    <row r="146">
      <c r="A146" s="56"/>
    </row>
    <row r="147">
      <c r="A147" s="62" t="s">
        <v>158</v>
      </c>
    </row>
  </sheetData>
  <mergeCells count="14">
    <mergeCell ref="B131:C131"/>
    <mergeCell ref="B132:C132"/>
    <mergeCell ref="B133:C133"/>
    <mergeCell ref="B134:C134"/>
    <mergeCell ref="B137:C137"/>
    <mergeCell ref="B138:C138"/>
    <mergeCell ref="B139:C139"/>
    <mergeCell ref="B1:F1"/>
    <mergeCell ref="B27:F27"/>
    <mergeCell ref="B53:F53"/>
    <mergeCell ref="B127:C127"/>
    <mergeCell ref="B128:C128"/>
    <mergeCell ref="B129:C129"/>
    <mergeCell ref="B130:C1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0"/>
    <col customWidth="1" min="2" max="2" width="20.5"/>
    <col customWidth="1" min="3" max="3" width="19.5"/>
    <col customWidth="1" min="4" max="4" width="23.88"/>
    <col customWidth="1" min="5" max="5" width="29.75"/>
    <col customWidth="1" min="6" max="6" width="32.63"/>
    <col customWidth="1" min="7" max="7" width="28.0"/>
    <col customWidth="1" min="8" max="8" width="32.88"/>
    <col customWidth="1" min="9" max="9" width="30.5"/>
  </cols>
  <sheetData>
    <row r="1"/>
    <row r="2" hidden="1"/>
    <row r="3"/>
    <row r="4"/>
    <row r="5"/>
    <row r="6"/>
    <row r="7"/>
    <row r="8"/>
    <row r="9"/>
    <row r="10"/>
    <row r="11"/>
    <row r="12"/>
    <row r="13"/>
    <row r="15">
      <c r="A15" s="30" t="s">
        <v>228</v>
      </c>
      <c r="B15" s="31"/>
      <c r="C15" s="31"/>
      <c r="D15" s="32"/>
    </row>
    <row r="16">
      <c r="A16" s="33" t="s">
        <v>229</v>
      </c>
      <c r="D16" s="34"/>
    </row>
    <row r="17">
      <c r="A17" s="33" t="s">
        <v>228</v>
      </c>
      <c r="D17" s="34"/>
    </row>
    <row r="18">
      <c r="A18" s="35"/>
      <c r="D18" s="34"/>
    </row>
    <row r="19">
      <c r="A19" s="33" t="s">
        <v>230</v>
      </c>
      <c r="D19" s="34"/>
    </row>
    <row r="20">
      <c r="A20" s="35"/>
      <c r="D20" s="34"/>
    </row>
    <row r="21">
      <c r="A21" s="33" t="s">
        <v>231</v>
      </c>
      <c r="D21" s="34"/>
    </row>
    <row r="22">
      <c r="A22" s="33" t="s">
        <v>232</v>
      </c>
      <c r="D22" s="34"/>
    </row>
    <row r="23">
      <c r="A23" s="35"/>
      <c r="D23" s="34"/>
    </row>
    <row r="24">
      <c r="A24" s="33" t="s">
        <v>233</v>
      </c>
      <c r="D24" s="34"/>
    </row>
    <row r="25">
      <c r="A25" s="33" t="s">
        <v>234</v>
      </c>
      <c r="D25" s="34"/>
    </row>
    <row r="26">
      <c r="A26" s="35"/>
      <c r="D26" s="34"/>
    </row>
    <row r="27">
      <c r="A27" s="33" t="s">
        <v>235</v>
      </c>
      <c r="D27" s="34"/>
    </row>
    <row r="28">
      <c r="A28" s="33" t="s">
        <v>236</v>
      </c>
      <c r="D28" s="34"/>
    </row>
    <row r="29">
      <c r="A29" s="35"/>
      <c r="D29" s="34"/>
    </row>
    <row r="30">
      <c r="A30" s="33" t="s">
        <v>237</v>
      </c>
      <c r="D30" s="34"/>
    </row>
    <row r="31">
      <c r="A31" s="33" t="s">
        <v>238</v>
      </c>
      <c r="D31" s="34"/>
    </row>
    <row r="32">
      <c r="A32" s="35"/>
      <c r="D32" s="34"/>
    </row>
    <row r="33">
      <c r="A33" s="33" t="s">
        <v>239</v>
      </c>
      <c r="D33" s="34"/>
    </row>
    <row r="34">
      <c r="A34" s="33" t="s">
        <v>240</v>
      </c>
      <c r="D34" s="34"/>
    </row>
    <row r="35">
      <c r="A35" s="35"/>
      <c r="D35" s="34"/>
    </row>
    <row r="36">
      <c r="A36" s="33" t="s">
        <v>241</v>
      </c>
      <c r="D36" s="34"/>
    </row>
    <row r="37">
      <c r="A37" s="68" t="s">
        <v>242</v>
      </c>
      <c r="B37" s="38"/>
      <c r="C37" s="38"/>
      <c r="D37" s="39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</sheetData>
  <autoFilter ref="$A$1:$I$13">
    <sortState ref="A1:I13">
      <sortCondition descending="1" ref="H1:H13"/>
      <sortCondition descending="1" ref="E1:E13"/>
      <sortCondition ref="G1:G13"/>
      <sortCondition ref="F1:F13"/>
      <sortCondition ref="I1:I13"/>
      <sortCondition ref="C1:C13"/>
    </sortState>
  </autoFilter>
  <drawing r:id="rId2"/>
</worksheet>
</file>